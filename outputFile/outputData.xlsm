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pythonPro\w_crawl\SoundCloud_tracklist_pro\SC_2023_01\outputFile\"/>
    </mc:Choice>
  </mc:AlternateContent>
  <bookViews>
    <workbookView xWindow="0" yWindow="0" windowWidth="19200" windowHeight="11295"/>
  </bookViews>
  <sheets>
    <sheet name="Sheet1" sheetId="1" r:id="rId1"/>
    <sheet name="1" sheetId="5" r:id="rId2"/>
    <sheet name="2" sheetId="6" r:id="rId3"/>
    <sheet name="3" sheetId="7" r:id="rId4"/>
  </sheets>
  <functionGroups builtInGroupCount="18"/>
  <calcPr calcId="152511"/>
</workbook>
</file>

<file path=xl/calcChain.xml><?xml version="1.0" encoding="utf-8"?>
<calcChain xmlns="http://schemas.openxmlformats.org/spreadsheetml/2006/main">
  <c r="AP73" i="1" l="1"/>
  <c r="AK73" i="1" a="1"/>
  <c r="AK73" i="1"/>
  <c r="AJ73" i="1"/>
  <c r="AD73" i="1" a="1"/>
  <c r="AD73" i="1" s="1"/>
  <c r="U73" i="1" a="1"/>
  <c r="U73" i="1"/>
  <c r="T73" i="1" a="1"/>
  <c r="T73" i="1" s="1"/>
  <c r="S73" i="1" a="1"/>
  <c r="S73" i="1" s="1"/>
  <c r="R73" i="1"/>
  <c r="Q73" i="1"/>
  <c r="P73" i="1"/>
  <c r="AP72" i="1"/>
  <c r="AK72" i="1" a="1"/>
  <c r="AK72" i="1"/>
  <c r="AJ72" i="1"/>
  <c r="AD72" i="1" a="1"/>
  <c r="AD72" i="1" s="1"/>
  <c r="U72" i="1" a="1"/>
  <c r="U72" i="1" s="1"/>
  <c r="T72" i="1" a="1"/>
  <c r="T72" i="1" s="1"/>
  <c r="S72" i="1" a="1"/>
  <c r="S72" i="1" s="1"/>
  <c r="R72" i="1"/>
  <c r="Q72" i="1"/>
  <c r="P72" i="1"/>
  <c r="AP71" i="1"/>
  <c r="AK71" i="1" a="1"/>
  <c r="AK71" i="1"/>
  <c r="AJ71" i="1"/>
  <c r="AD71" i="1" a="1"/>
  <c r="AD71" i="1" s="1"/>
  <c r="X71" i="1"/>
  <c r="U71" i="1" a="1"/>
  <c r="U71" i="1"/>
  <c r="T71" i="1" a="1"/>
  <c r="T71" i="1"/>
  <c r="S71" i="1" a="1"/>
  <c r="S71" i="1"/>
  <c r="R71" i="1"/>
  <c r="Q71" i="1"/>
  <c r="P71" i="1"/>
  <c r="AP70" i="1"/>
  <c r="AK70" i="1" a="1"/>
  <c r="AK70" i="1" s="1"/>
  <c r="AJ70" i="1"/>
  <c r="AD70" i="1" a="1"/>
  <c r="AD70" i="1"/>
  <c r="X70" i="1"/>
  <c r="V70" i="1"/>
  <c r="U70" i="1" a="1"/>
  <c r="U70" i="1"/>
  <c r="T70" i="1" a="1"/>
  <c r="T70" i="1"/>
  <c r="S70" i="1" a="1"/>
  <c r="S70" i="1"/>
  <c r="R70" i="1"/>
  <c r="Q70" i="1"/>
  <c r="P70" i="1"/>
  <c r="AP69" i="1"/>
  <c r="AK69" i="1" a="1"/>
  <c r="AK69" i="1"/>
  <c r="AJ69" i="1"/>
  <c r="AD69" i="1" a="1"/>
  <c r="AD69" i="1"/>
  <c r="X69" i="1"/>
  <c r="V69" i="1"/>
  <c r="U69" i="1" a="1"/>
  <c r="U69" i="1"/>
  <c r="T69" i="1" a="1"/>
  <c r="T69" i="1"/>
  <c r="S69" i="1" a="1"/>
  <c r="S69" i="1"/>
  <c r="R69" i="1"/>
  <c r="Q69" i="1"/>
  <c r="P69" i="1"/>
  <c r="AP68" i="1"/>
  <c r="AK68" i="1" a="1"/>
  <c r="AK68" i="1"/>
  <c r="AJ68" i="1"/>
  <c r="AD68" i="1" a="1"/>
  <c r="AD68" i="1"/>
  <c r="AB68" i="1" a="1"/>
  <c r="AB68" i="1"/>
  <c r="X68" i="1"/>
  <c r="V68" i="1"/>
  <c r="U68" i="1" a="1"/>
  <c r="U68" i="1"/>
  <c r="T68" i="1" a="1"/>
  <c r="T68" i="1"/>
  <c r="S68" i="1" a="1"/>
  <c r="S68" i="1" s="1"/>
  <c r="R68" i="1"/>
  <c r="Q68" i="1"/>
  <c r="P68" i="1"/>
  <c r="AP67" i="1"/>
  <c r="AK67" i="1" a="1"/>
  <c r="AK67" i="1" s="1"/>
  <c r="AJ67" i="1"/>
  <c r="AD67" i="1" a="1"/>
  <c r="AD67" i="1" s="1"/>
  <c r="AB67" i="1" a="1"/>
  <c r="AB67" i="1"/>
  <c r="X67" i="1"/>
  <c r="V67" i="1"/>
  <c r="U67" i="1" a="1"/>
  <c r="U67" i="1"/>
  <c r="T67" i="1" a="1"/>
  <c r="T67" i="1" s="1"/>
  <c r="S67" i="1" a="1"/>
  <c r="S67" i="1"/>
  <c r="R67" i="1"/>
  <c r="Q67" i="1"/>
  <c r="P67" i="1"/>
  <c r="AP66" i="1"/>
  <c r="AK66" i="1" a="1"/>
  <c r="AK66" i="1"/>
  <c r="AJ66" i="1"/>
  <c r="AG66" i="1"/>
  <c r="AD66" i="1" a="1"/>
  <c r="AD66" i="1" s="1"/>
  <c r="AB66" i="1" a="1"/>
  <c r="AB66" i="1"/>
  <c r="X66" i="1"/>
  <c r="V66" i="1"/>
  <c r="U66" i="1" a="1"/>
  <c r="U66" i="1"/>
  <c r="T66" i="1" a="1"/>
  <c r="T66" i="1" s="1"/>
  <c r="S66" i="1" a="1"/>
  <c r="S66" i="1"/>
  <c r="R66" i="1"/>
  <c r="Q66" i="1"/>
  <c r="P66" i="1"/>
  <c r="AP65" i="1"/>
  <c r="AK65" i="1" a="1"/>
  <c r="AK65" i="1"/>
  <c r="AJ65" i="1"/>
  <c r="AG65" i="1"/>
  <c r="AD65" i="1" a="1"/>
  <c r="AD65" i="1"/>
  <c r="AB65" i="1" a="1"/>
  <c r="AB65" i="1" s="1"/>
  <c r="X65" i="1"/>
  <c r="V65" i="1"/>
  <c r="U65" i="1" a="1"/>
  <c r="U65" i="1" s="1"/>
  <c r="T65" i="1" a="1"/>
  <c r="T65" i="1"/>
  <c r="S65" i="1" a="1"/>
  <c r="S65" i="1" s="1"/>
  <c r="R65" i="1"/>
  <c r="Q65" i="1"/>
  <c r="P65" i="1"/>
  <c r="AP64" i="1"/>
  <c r="AK64" i="1" a="1"/>
  <c r="AK64" i="1" s="1"/>
  <c r="AJ64" i="1"/>
  <c r="AG64" i="1"/>
  <c r="AD64" i="1" a="1"/>
  <c r="AD64" i="1"/>
  <c r="AC64" i="1" a="1"/>
  <c r="AC64" i="1" s="1"/>
  <c r="AB64" i="1" a="1"/>
  <c r="AB64" i="1"/>
  <c r="X64" i="1"/>
  <c r="V64" i="1"/>
  <c r="U64" i="1" a="1"/>
  <c r="U64" i="1"/>
  <c r="T64" i="1" a="1"/>
  <c r="T64" i="1" s="1"/>
  <c r="S64" i="1" a="1"/>
  <c r="S64" i="1"/>
  <c r="R64" i="1"/>
  <c r="Q64" i="1"/>
  <c r="P64" i="1"/>
  <c r="AP63" i="1"/>
  <c r="AK63" i="1" a="1"/>
  <c r="AK63" i="1"/>
  <c r="AJ63" i="1"/>
  <c r="AG63" i="1"/>
  <c r="AD63" i="1" a="1"/>
  <c r="AD63" i="1"/>
  <c r="AC63" i="1" a="1"/>
  <c r="AC63" i="1" s="1"/>
  <c r="AB63" i="1" a="1"/>
  <c r="AB63" i="1"/>
  <c r="X63" i="1"/>
  <c r="V63" i="1"/>
  <c r="U63" i="1" a="1"/>
  <c r="U63" i="1" s="1"/>
  <c r="T63" i="1" a="1"/>
  <c r="T63" i="1"/>
  <c r="S63" i="1" a="1"/>
  <c r="S63" i="1" s="1"/>
  <c r="R63" i="1"/>
  <c r="Q63" i="1"/>
  <c r="P63" i="1"/>
  <c r="AP62" i="1"/>
  <c r="AK62" i="1" a="1"/>
  <c r="AK62" i="1" s="1"/>
  <c r="AJ62" i="1"/>
  <c r="AG62" i="1"/>
  <c r="AD62" i="1" a="1"/>
  <c r="AD62" i="1"/>
  <c r="AC62" i="1" a="1"/>
  <c r="AC62" i="1" s="1"/>
  <c r="AB62" i="1" a="1"/>
  <c r="AB62" i="1"/>
  <c r="AA62" i="1" a="1"/>
  <c r="AA62" i="1" s="1"/>
  <c r="X62" i="1"/>
  <c r="V62" i="1"/>
  <c r="U62" i="1" a="1"/>
  <c r="U62" i="1"/>
  <c r="T62" i="1" a="1"/>
  <c r="T62" i="1" s="1"/>
  <c r="S62" i="1" a="1"/>
  <c r="S62" i="1"/>
  <c r="R62" i="1"/>
  <c r="Q62" i="1"/>
  <c r="P62" i="1"/>
  <c r="AP61" i="1"/>
  <c r="AK61" i="1" a="1"/>
  <c r="AK61" i="1" s="1"/>
  <c r="AJ61" i="1"/>
  <c r="AG61" i="1"/>
  <c r="AD61" i="1" a="1"/>
  <c r="AD61" i="1"/>
  <c r="AC61" i="1" a="1"/>
  <c r="AC61" i="1" s="1"/>
  <c r="AB61" i="1" a="1"/>
  <c r="AB61" i="1"/>
  <c r="AA61" i="1" a="1"/>
  <c r="AA61" i="1" s="1"/>
  <c r="X61" i="1"/>
  <c r="V61" i="1"/>
  <c r="U61" i="1" a="1"/>
  <c r="U61" i="1"/>
  <c r="T61" i="1" a="1"/>
  <c r="T61" i="1" s="1"/>
  <c r="S61" i="1" a="1"/>
  <c r="S61" i="1"/>
  <c r="R61" i="1"/>
  <c r="Q61" i="1"/>
  <c r="P61" i="1"/>
  <c r="AP60" i="1"/>
  <c r="AK60" i="1" a="1"/>
  <c r="AK60" i="1"/>
  <c r="AJ60" i="1"/>
  <c r="AG60" i="1"/>
  <c r="AF60" i="1" a="1"/>
  <c r="AF60" i="1" s="1"/>
  <c r="AD60" i="1" a="1"/>
  <c r="AD60" i="1"/>
  <c r="AC60" i="1" a="1"/>
  <c r="AC60" i="1" s="1"/>
  <c r="AB60" i="1" a="1"/>
  <c r="AB60" i="1"/>
  <c r="AA60" i="1" a="1"/>
  <c r="AA60" i="1" s="1"/>
  <c r="X60" i="1"/>
  <c r="V60" i="1"/>
  <c r="U60" i="1" a="1"/>
  <c r="U60" i="1"/>
  <c r="T60" i="1" a="1"/>
  <c r="T60" i="1" s="1"/>
  <c r="S60" i="1" a="1"/>
  <c r="S60" i="1" s="1"/>
  <c r="R60" i="1"/>
  <c r="Q60" i="1"/>
  <c r="P60" i="1"/>
  <c r="AP59" i="1"/>
  <c r="AK59" i="1" a="1"/>
  <c r="AK59" i="1"/>
  <c r="AJ59" i="1"/>
  <c r="AG59" i="1"/>
  <c r="AF59" i="1" a="1"/>
  <c r="AF59" i="1"/>
  <c r="AD59" i="1" a="1"/>
  <c r="AD59" i="1"/>
  <c r="AC59" i="1" a="1"/>
  <c r="AC59" i="1"/>
  <c r="AB59" i="1" a="1"/>
  <c r="AB59" i="1" s="1"/>
  <c r="AA59" i="1" a="1"/>
  <c r="AA59" i="1"/>
  <c r="X59" i="1"/>
  <c r="V59" i="1"/>
  <c r="U59" i="1" a="1"/>
  <c r="U59" i="1" s="1"/>
  <c r="T59" i="1" a="1"/>
  <c r="T59" i="1"/>
  <c r="S59" i="1" a="1"/>
  <c r="S59" i="1" s="1"/>
  <c r="R59" i="1"/>
  <c r="Q59" i="1"/>
  <c r="P59" i="1"/>
  <c r="BQ58" i="1"/>
  <c r="BL58" i="1"/>
  <c r="BI58" i="1"/>
  <c r="BM58" i="1" s="1"/>
  <c r="BH58" i="1"/>
  <c r="AP58" i="1"/>
  <c r="AK58" i="1" a="1"/>
  <c r="AK58" i="1" s="1"/>
  <c r="AJ58" i="1"/>
  <c r="AG58" i="1"/>
  <c r="AF58" i="1" a="1"/>
  <c r="AF58" i="1" s="1"/>
  <c r="AE58" i="1" a="1"/>
  <c r="AE58" i="1"/>
  <c r="AD58" i="1" a="1"/>
  <c r="AD58" i="1" s="1"/>
  <c r="AC58" i="1" a="1"/>
  <c r="AC58" i="1" s="1"/>
  <c r="AB58" i="1" a="1"/>
  <c r="AB58" i="1" s="1"/>
  <c r="AA58" i="1" a="1"/>
  <c r="AA58" i="1" s="1"/>
  <c r="X58" i="1"/>
  <c r="V58" i="1"/>
  <c r="U58" i="1" a="1"/>
  <c r="U58" i="1" s="1"/>
  <c r="T58" i="1" a="1"/>
  <c r="T58" i="1"/>
  <c r="S58" i="1" a="1"/>
  <c r="S58" i="1" s="1"/>
  <c r="R58" i="1"/>
  <c r="Q58" i="1"/>
  <c r="P58" i="1"/>
  <c r="BQ57" i="1"/>
  <c r="BP57" i="1"/>
  <c r="BM57" i="1"/>
  <c r="BL57" i="1"/>
  <c r="BK57" i="1"/>
  <c r="BI57" i="1"/>
  <c r="BH57" i="1"/>
  <c r="AP57" i="1"/>
  <c r="AK57" i="1" a="1"/>
  <c r="AK57" i="1" s="1"/>
  <c r="AJ57" i="1"/>
  <c r="AG57" i="1"/>
  <c r="AF57" i="1" a="1"/>
  <c r="AF57" i="1" s="1"/>
  <c r="AE57" i="1" a="1"/>
  <c r="AE57" i="1" s="1"/>
  <c r="AD57" i="1" a="1"/>
  <c r="AD57" i="1" s="1"/>
  <c r="AC57" i="1" a="1"/>
  <c r="AC57" i="1"/>
  <c r="AB57" i="1" a="1"/>
  <c r="AB57" i="1" s="1"/>
  <c r="AA57" i="1" a="1"/>
  <c r="AA57" i="1" s="1"/>
  <c r="X57" i="1"/>
  <c r="V57" i="1"/>
  <c r="U57" i="1" a="1"/>
  <c r="U57" i="1" s="1"/>
  <c r="T57" i="1" a="1"/>
  <c r="T57" i="1" s="1"/>
  <c r="S57" i="1" a="1"/>
  <c r="S57" i="1" s="1"/>
  <c r="R57" i="1"/>
  <c r="Q57" i="1"/>
  <c r="P57" i="1"/>
  <c r="BI56" i="1"/>
  <c r="BH56" i="1"/>
  <c r="AP56" i="1"/>
  <c r="AK56" i="1" a="1"/>
  <c r="AK56" i="1"/>
  <c r="AJ56" i="1"/>
  <c r="AG56" i="1"/>
  <c r="AF56" i="1" a="1"/>
  <c r="AF56" i="1" s="1"/>
  <c r="AE56" i="1" a="1"/>
  <c r="AE56" i="1"/>
  <c r="AD56" i="1" a="1"/>
  <c r="AD56" i="1" s="1"/>
  <c r="AC56" i="1" a="1"/>
  <c r="AC56" i="1" s="1"/>
  <c r="AB56" i="1" a="1"/>
  <c r="AB56" i="1" s="1"/>
  <c r="AA56" i="1" a="1"/>
  <c r="AA56" i="1"/>
  <c r="X56" i="1"/>
  <c r="V56" i="1"/>
  <c r="U56" i="1" a="1"/>
  <c r="U56" i="1" s="1"/>
  <c r="T56" i="1" a="1"/>
  <c r="T56" i="1"/>
  <c r="S56" i="1" a="1"/>
  <c r="S56" i="1" s="1"/>
  <c r="R56" i="1"/>
  <c r="Q56" i="1"/>
  <c r="P56" i="1"/>
  <c r="BQ55" i="1"/>
  <c r="BP55" i="1"/>
  <c r="BM55" i="1"/>
  <c r="BL55" i="1"/>
  <c r="BK55" i="1"/>
  <c r="BI55" i="1"/>
  <c r="BH55" i="1"/>
  <c r="AP55" i="1"/>
  <c r="AK55" i="1" a="1"/>
  <c r="AK55" i="1" s="1"/>
  <c r="AJ55" i="1"/>
  <c r="AG55" i="1"/>
  <c r="AF55" i="1" a="1"/>
  <c r="AF55" i="1" s="1"/>
  <c r="AE55" i="1" a="1"/>
  <c r="AE55" i="1" s="1"/>
  <c r="AD55" i="1" a="1"/>
  <c r="AD55" i="1" s="1"/>
  <c r="AC55" i="1" a="1"/>
  <c r="AC55" i="1"/>
  <c r="AB55" i="1" a="1"/>
  <c r="AB55" i="1" s="1"/>
  <c r="AA55" i="1" a="1"/>
  <c r="AA55" i="1" s="1"/>
  <c r="X55" i="1"/>
  <c r="V55" i="1"/>
  <c r="U55" i="1" a="1"/>
  <c r="U55" i="1" s="1"/>
  <c r="T55" i="1" a="1"/>
  <c r="T55" i="1" s="1"/>
  <c r="S55" i="1" a="1"/>
  <c r="S55" i="1" s="1"/>
  <c r="R55" i="1"/>
  <c r="Q55" i="1"/>
  <c r="P55" i="1"/>
  <c r="BO54" i="1"/>
  <c r="BK54" i="1"/>
  <c r="BI54" i="1"/>
  <c r="BR54" i="1" s="1"/>
  <c r="BH54" i="1"/>
  <c r="AP54" i="1"/>
  <c r="AK54" i="1" a="1"/>
  <c r="AK54" i="1" s="1"/>
  <c r="AJ54" i="1"/>
  <c r="AG54" i="1"/>
  <c r="AF54" i="1" a="1"/>
  <c r="AF54" i="1" s="1"/>
  <c r="AE54" i="1" a="1"/>
  <c r="AE54" i="1" s="1"/>
  <c r="AD54" i="1" a="1"/>
  <c r="AD54" i="1" s="1"/>
  <c r="AC54" i="1" a="1"/>
  <c r="AC54" i="1" s="1"/>
  <c r="AB54" i="1" a="1"/>
  <c r="AB54" i="1" s="1"/>
  <c r="AA54" i="1" a="1"/>
  <c r="AA54" i="1" s="1"/>
  <c r="X54" i="1"/>
  <c r="V54" i="1"/>
  <c r="U54" i="1" a="1"/>
  <c r="U54" i="1" s="1"/>
  <c r="T54" i="1" a="1"/>
  <c r="T54" i="1" s="1"/>
  <c r="S54" i="1" a="1"/>
  <c r="S54" i="1" s="1"/>
  <c r="R54" i="1"/>
  <c r="Q54" i="1"/>
  <c r="P54" i="1"/>
  <c r="BM53" i="1"/>
  <c r="BI53" i="1"/>
  <c r="BH53" i="1"/>
  <c r="AP53" i="1"/>
  <c r="AK53" i="1" a="1"/>
  <c r="AK53" i="1" s="1"/>
  <c r="AJ53" i="1"/>
  <c r="AG53" i="1"/>
  <c r="AF53" i="1" a="1"/>
  <c r="AF53" i="1" s="1"/>
  <c r="AE53" i="1" a="1"/>
  <c r="AE53" i="1" s="1"/>
  <c r="AD53" i="1" a="1"/>
  <c r="AD53" i="1" s="1"/>
  <c r="AC53" i="1" a="1"/>
  <c r="AC53" i="1" s="1"/>
  <c r="AB53" i="1" a="1"/>
  <c r="AB53" i="1" s="1"/>
  <c r="AA53" i="1" a="1"/>
  <c r="AA53" i="1" s="1"/>
  <c r="X53" i="1"/>
  <c r="V53" i="1"/>
  <c r="U53" i="1" a="1"/>
  <c r="U53" i="1" s="1"/>
  <c r="T53" i="1" a="1"/>
  <c r="T53" i="1" s="1"/>
  <c r="S53" i="1" a="1"/>
  <c r="S53" i="1" s="1"/>
  <c r="R53" i="1"/>
  <c r="Q53" i="1"/>
  <c r="P53" i="1"/>
  <c r="BO52" i="1"/>
  <c r="BK52" i="1"/>
  <c r="BI52" i="1"/>
  <c r="BR52" i="1" s="1"/>
  <c r="BH52" i="1"/>
  <c r="AP52" i="1"/>
  <c r="AK52" i="1" a="1"/>
  <c r="AK52" i="1" s="1"/>
  <c r="AJ52" i="1"/>
  <c r="AG52" i="1"/>
  <c r="AF52" i="1" a="1"/>
  <c r="AF52" i="1" s="1"/>
  <c r="AE52" i="1" a="1"/>
  <c r="AE52" i="1" s="1"/>
  <c r="AD52" i="1" a="1"/>
  <c r="AD52" i="1" s="1"/>
  <c r="AC52" i="1" a="1"/>
  <c r="AC52" i="1" s="1"/>
  <c r="AB52" i="1" a="1"/>
  <c r="AB52" i="1" s="1"/>
  <c r="AA52" i="1" a="1"/>
  <c r="AA52" i="1" s="1"/>
  <c r="X52" i="1"/>
  <c r="V52" i="1"/>
  <c r="U52" i="1" a="1"/>
  <c r="U52" i="1" s="1"/>
  <c r="T52" i="1" a="1"/>
  <c r="T52" i="1" s="1"/>
  <c r="S52" i="1" a="1"/>
  <c r="S52" i="1" s="1"/>
  <c r="R52" i="1"/>
  <c r="Q52" i="1"/>
  <c r="P52" i="1"/>
  <c r="BI51" i="1"/>
  <c r="BH51" i="1"/>
  <c r="AP51" i="1"/>
  <c r="AK51" i="1" a="1"/>
  <c r="AK51" i="1" s="1"/>
  <c r="AJ51" i="1"/>
  <c r="AG51" i="1"/>
  <c r="AF51" i="1" a="1"/>
  <c r="AF51" i="1" s="1"/>
  <c r="AE51" i="1" a="1"/>
  <c r="AE51" i="1" s="1"/>
  <c r="AD51" i="1" a="1"/>
  <c r="AD51" i="1" s="1"/>
  <c r="AC51" i="1" a="1"/>
  <c r="AC51" i="1" s="1"/>
  <c r="AB51" i="1" a="1"/>
  <c r="AB51" i="1" s="1"/>
  <c r="AA51" i="1" a="1"/>
  <c r="AA51" i="1" s="1"/>
  <c r="X51" i="1"/>
  <c r="V51" i="1"/>
  <c r="U51" i="1" a="1"/>
  <c r="U51" i="1" s="1"/>
  <c r="T51" i="1" a="1"/>
  <c r="T51" i="1" s="1"/>
  <c r="S51" i="1" a="1"/>
  <c r="S51" i="1" s="1"/>
  <c r="R51" i="1"/>
  <c r="Q51" i="1"/>
  <c r="P51" i="1"/>
  <c r="AP50" i="1"/>
  <c r="AK50" i="1" a="1"/>
  <c r="AK50" i="1"/>
  <c r="AJ50" i="1"/>
  <c r="AG50" i="1"/>
  <c r="AF50" i="1" a="1"/>
  <c r="AF50" i="1"/>
  <c r="AE50" i="1" a="1"/>
  <c r="AE50" i="1"/>
  <c r="AD50" i="1" a="1"/>
  <c r="AD50" i="1"/>
  <c r="AC50" i="1" a="1"/>
  <c r="AC50" i="1"/>
  <c r="AB50" i="1" a="1"/>
  <c r="AB50" i="1"/>
  <c r="AA50" i="1" a="1"/>
  <c r="AA50" i="1"/>
  <c r="X50" i="1"/>
  <c r="V50" i="1"/>
  <c r="U50" i="1" a="1"/>
  <c r="U50" i="1"/>
  <c r="T50" i="1" a="1"/>
  <c r="T50" i="1"/>
  <c r="S50" i="1" a="1"/>
  <c r="S50" i="1"/>
  <c r="R50" i="1"/>
  <c r="Q50" i="1"/>
  <c r="P50" i="1"/>
  <c r="AP49" i="1"/>
  <c r="AK49" i="1" a="1"/>
  <c r="AK49" i="1" s="1"/>
  <c r="AJ49" i="1"/>
  <c r="AG49" i="1"/>
  <c r="AF49" i="1" a="1"/>
  <c r="AF49" i="1" s="1"/>
  <c r="AE49" i="1" a="1"/>
  <c r="AE49" i="1" s="1"/>
  <c r="AD49" i="1" a="1"/>
  <c r="AD49" i="1" s="1"/>
  <c r="AC49" i="1" a="1"/>
  <c r="AC49" i="1" s="1"/>
  <c r="AB49" i="1" a="1"/>
  <c r="AB49" i="1" s="1"/>
  <c r="AA49" i="1" a="1"/>
  <c r="AA49" i="1" s="1"/>
  <c r="X49" i="1"/>
  <c r="V49" i="1"/>
  <c r="U49" i="1" a="1"/>
  <c r="U49" i="1" s="1"/>
  <c r="T49" i="1" a="1"/>
  <c r="T49" i="1" s="1"/>
  <c r="S49" i="1" a="1"/>
  <c r="S49" i="1" s="1"/>
  <c r="R49" i="1"/>
  <c r="Q49" i="1"/>
  <c r="P49" i="1"/>
  <c r="AP48" i="1"/>
  <c r="AK48" i="1" a="1"/>
  <c r="AK48" i="1"/>
  <c r="AG48" i="1"/>
  <c r="AF48" i="1" a="1"/>
  <c r="AF48" i="1" s="1"/>
  <c r="AE48" i="1" a="1"/>
  <c r="AE48" i="1" s="1"/>
  <c r="AD48" i="1" a="1"/>
  <c r="AD48" i="1" s="1"/>
  <c r="AC48" i="1" a="1"/>
  <c r="AC48" i="1" s="1"/>
  <c r="AB48" i="1" a="1"/>
  <c r="AB48" i="1" s="1"/>
  <c r="AA48" i="1" a="1"/>
  <c r="AA48" i="1" s="1"/>
  <c r="X48" i="1"/>
  <c r="W48" i="1"/>
  <c r="V48" i="1"/>
  <c r="U48" i="1" a="1"/>
  <c r="U48" i="1"/>
  <c r="T48" i="1" a="1"/>
  <c r="T48" i="1"/>
  <c r="S48" i="1" a="1"/>
  <c r="S48" i="1"/>
  <c r="R48" i="1"/>
  <c r="Q48" i="1"/>
  <c r="P48" i="1"/>
  <c r="AP47" i="1"/>
  <c r="AK47" i="1" a="1"/>
  <c r="AK47" i="1" s="1"/>
  <c r="AG47" i="1"/>
  <c r="AF47" i="1" a="1"/>
  <c r="AF47" i="1"/>
  <c r="AE47" i="1" a="1"/>
  <c r="AE47" i="1"/>
  <c r="AD47" i="1" a="1"/>
  <c r="AD47" i="1"/>
  <c r="AC47" i="1" a="1"/>
  <c r="AC47" i="1"/>
  <c r="AB47" i="1" a="1"/>
  <c r="AB47" i="1"/>
  <c r="AA47" i="1" a="1"/>
  <c r="AA47" i="1"/>
  <c r="X47" i="1"/>
  <c r="W47" i="1"/>
  <c r="V47" i="1"/>
  <c r="U47" i="1" a="1"/>
  <c r="U47" i="1" s="1"/>
  <c r="T47" i="1" a="1"/>
  <c r="T47" i="1" s="1"/>
  <c r="S47" i="1" a="1"/>
  <c r="S47" i="1" s="1"/>
  <c r="R47" i="1"/>
  <c r="Q47" i="1"/>
  <c r="P47" i="1"/>
  <c r="AP46" i="1"/>
  <c r="AN46" i="1" a="1"/>
  <c r="AN46" i="1"/>
  <c r="AM46" i="1" a="1"/>
  <c r="AM46" i="1"/>
  <c r="AK46" i="1" a="1"/>
  <c r="AK46" i="1"/>
  <c r="AG46" i="1"/>
  <c r="AF46" i="1" a="1"/>
  <c r="AF46" i="1" s="1"/>
  <c r="AE46" i="1" a="1"/>
  <c r="AE46" i="1" s="1"/>
  <c r="AD46" i="1" a="1"/>
  <c r="AD46" i="1" s="1"/>
  <c r="AC46" i="1" a="1"/>
  <c r="AC46" i="1" s="1"/>
  <c r="AB46" i="1" a="1"/>
  <c r="AB46" i="1" s="1"/>
  <c r="AA46" i="1" a="1"/>
  <c r="AA46" i="1" s="1"/>
  <c r="X46" i="1"/>
  <c r="W46" i="1"/>
  <c r="V46" i="1"/>
  <c r="U46" i="1" a="1"/>
  <c r="U46" i="1"/>
  <c r="T46" i="1" a="1"/>
  <c r="T46" i="1"/>
  <c r="S46" i="1" a="1"/>
  <c r="S46" i="1"/>
  <c r="R46" i="1"/>
  <c r="Q46" i="1"/>
  <c r="P46" i="1"/>
  <c r="BM45" i="1"/>
  <c r="BC45" i="1"/>
  <c r="AP45" i="1"/>
  <c r="AN45" i="1" a="1"/>
  <c r="AN45" i="1" s="1"/>
  <c r="AM45" i="1" a="1"/>
  <c r="AM45" i="1" s="1"/>
  <c r="AK45" i="1" a="1"/>
  <c r="AK45" i="1" s="1"/>
  <c r="AG45" i="1"/>
  <c r="AF45" i="1" a="1"/>
  <c r="AF45" i="1"/>
  <c r="AE45" i="1" a="1"/>
  <c r="AE45" i="1"/>
  <c r="AD45" i="1" a="1"/>
  <c r="AD45" i="1"/>
  <c r="AC45" i="1" a="1"/>
  <c r="AC45" i="1"/>
  <c r="AB45" i="1" a="1"/>
  <c r="AB45" i="1"/>
  <c r="AA45" i="1" a="1"/>
  <c r="AA45" i="1"/>
  <c r="X45" i="1"/>
  <c r="W45" i="1"/>
  <c r="V45" i="1"/>
  <c r="U45" i="1" a="1"/>
  <c r="U45" i="1" s="1"/>
  <c r="T45" i="1" a="1"/>
  <c r="T45" i="1" s="1"/>
  <c r="S45" i="1" a="1"/>
  <c r="S45" i="1" s="1"/>
  <c r="R45" i="1"/>
  <c r="Q45" i="1"/>
  <c r="P45" i="1"/>
  <c r="BM44" i="1"/>
  <c r="BC44" i="1"/>
  <c r="AP44" i="1"/>
  <c r="AN44" i="1" a="1"/>
  <c r="AN44" i="1"/>
  <c r="AM44" i="1" a="1"/>
  <c r="AM44" i="1"/>
  <c r="AK44" i="1" a="1"/>
  <c r="AK44" i="1"/>
  <c r="AJ44" i="1"/>
  <c r="AG44" i="1"/>
  <c r="AF44" i="1" a="1"/>
  <c r="AF44" i="1"/>
  <c r="AE44" i="1" a="1"/>
  <c r="AE44" i="1"/>
  <c r="AD44" i="1" a="1"/>
  <c r="AD44" i="1"/>
  <c r="AC44" i="1" a="1"/>
  <c r="AC44" i="1"/>
  <c r="AB44" i="1" a="1"/>
  <c r="AB44" i="1"/>
  <c r="AA44" i="1" a="1"/>
  <c r="AA44" i="1"/>
  <c r="X44" i="1"/>
  <c r="W44" i="1"/>
  <c r="V44" i="1"/>
  <c r="U44" i="1" a="1"/>
  <c r="U44" i="1" s="1"/>
  <c r="T44" i="1" a="1"/>
  <c r="T44" i="1" s="1"/>
  <c r="S44" i="1" a="1"/>
  <c r="S44" i="1" s="1"/>
  <c r="R44" i="1"/>
  <c r="Q44" i="1"/>
  <c r="P44" i="1"/>
  <c r="BM43" i="1"/>
  <c r="BC43" i="1"/>
  <c r="AP43" i="1"/>
  <c r="AN43" i="1" a="1"/>
  <c r="AN43" i="1"/>
  <c r="AM43" i="1" a="1"/>
  <c r="AM43" i="1"/>
  <c r="AK43" i="1" a="1"/>
  <c r="AK43" i="1"/>
  <c r="AJ43" i="1"/>
  <c r="AI43" i="1" a="1"/>
  <c r="AI43" i="1" s="1"/>
  <c r="AG43" i="1"/>
  <c r="AF43" i="1" a="1"/>
  <c r="AF43" i="1"/>
  <c r="AE43" i="1" a="1"/>
  <c r="AE43" i="1"/>
  <c r="AD43" i="1" a="1"/>
  <c r="AD43" i="1"/>
  <c r="AC43" i="1" a="1"/>
  <c r="AC43" i="1"/>
  <c r="AB43" i="1" a="1"/>
  <c r="AB43" i="1" s="1"/>
  <c r="AA43" i="1" a="1"/>
  <c r="AA43" i="1"/>
  <c r="X43" i="1"/>
  <c r="W43" i="1"/>
  <c r="V43" i="1"/>
  <c r="U43" i="1" a="1"/>
  <c r="U43" i="1"/>
  <c r="T43" i="1" a="1"/>
  <c r="T43" i="1" s="1"/>
  <c r="S43" i="1" a="1"/>
  <c r="S43" i="1"/>
  <c r="R43" i="1"/>
  <c r="Q43" i="1"/>
  <c r="P43" i="1"/>
  <c r="BM42" i="1"/>
  <c r="BC42" i="1"/>
  <c r="AP42" i="1"/>
  <c r="AN42" i="1" a="1"/>
  <c r="AN42" i="1"/>
  <c r="AM42" i="1" a="1"/>
  <c r="AM42" i="1" s="1"/>
  <c r="AK42" i="1" a="1"/>
  <c r="AK42" i="1" s="1"/>
  <c r="AJ42" i="1"/>
  <c r="AI42" i="1" a="1"/>
  <c r="AI42" i="1" s="1"/>
  <c r="AG42" i="1"/>
  <c r="AF42" i="1" a="1"/>
  <c r="AF42" i="1" s="1"/>
  <c r="AE42" i="1" a="1"/>
  <c r="AE42" i="1"/>
  <c r="AD42" i="1" a="1"/>
  <c r="AD42" i="1" s="1"/>
  <c r="AC42" i="1" a="1"/>
  <c r="AC42" i="1"/>
  <c r="AB42" i="1" a="1"/>
  <c r="AB42" i="1" s="1"/>
  <c r="AA42" i="1" a="1"/>
  <c r="AA42" i="1"/>
  <c r="X42" i="1"/>
  <c r="W42" i="1"/>
  <c r="V42" i="1"/>
  <c r="U42" i="1" a="1"/>
  <c r="U42" i="1"/>
  <c r="T42" i="1" a="1"/>
  <c r="T42" i="1" s="1"/>
  <c r="S42" i="1" a="1"/>
  <c r="S42" i="1"/>
  <c r="R42" i="1"/>
  <c r="Q42" i="1"/>
  <c r="P42" i="1"/>
  <c r="BM41" i="1"/>
  <c r="BC41" i="1"/>
  <c r="AP41" i="1"/>
  <c r="AN41" i="1" a="1"/>
  <c r="AN41" i="1"/>
  <c r="AM41" i="1" a="1"/>
  <c r="AM41" i="1" s="1"/>
  <c r="AK41" i="1" a="1"/>
  <c r="AK41" i="1" s="1"/>
  <c r="AJ41" i="1"/>
  <c r="AI41" i="1" a="1"/>
  <c r="AI41" i="1" s="1"/>
  <c r="AG41" i="1"/>
  <c r="AF41" i="1" a="1"/>
  <c r="AF41" i="1" s="1"/>
  <c r="AE41" i="1" a="1"/>
  <c r="AE41" i="1"/>
  <c r="AD41" i="1" a="1"/>
  <c r="AD41" i="1" s="1"/>
  <c r="AC41" i="1" a="1"/>
  <c r="AC41" i="1"/>
  <c r="AB41" i="1" a="1"/>
  <c r="AB41" i="1" s="1"/>
  <c r="AA41" i="1" a="1"/>
  <c r="AA41" i="1"/>
  <c r="X41" i="1"/>
  <c r="W41" i="1"/>
  <c r="V41" i="1"/>
  <c r="U41" i="1" a="1"/>
  <c r="U41" i="1"/>
  <c r="T41" i="1" a="1"/>
  <c r="T41" i="1" s="1"/>
  <c r="S41" i="1" a="1"/>
  <c r="S41" i="1"/>
  <c r="R41" i="1"/>
  <c r="Q41" i="1"/>
  <c r="P41" i="1"/>
  <c r="BM40" i="1"/>
  <c r="BC40" i="1"/>
  <c r="AP40" i="1"/>
  <c r="AN40" i="1" a="1"/>
  <c r="AN40" i="1"/>
  <c r="AM40" i="1" a="1"/>
  <c r="AM40" i="1" s="1"/>
  <c r="AK40" i="1" a="1"/>
  <c r="AK40" i="1" s="1"/>
  <c r="AJ40" i="1"/>
  <c r="AI40" i="1" a="1"/>
  <c r="AI40" i="1" s="1"/>
  <c r="AG40" i="1"/>
  <c r="AF40" i="1" a="1"/>
  <c r="AF40" i="1" s="1"/>
  <c r="AE40" i="1" a="1"/>
  <c r="AE40" i="1"/>
  <c r="AD40" i="1" a="1"/>
  <c r="AD40" i="1" s="1"/>
  <c r="AC40" i="1" a="1"/>
  <c r="AC40" i="1"/>
  <c r="AB40" i="1" a="1"/>
  <c r="AB40" i="1" s="1"/>
  <c r="AA40" i="1" a="1"/>
  <c r="AA40" i="1"/>
  <c r="X40" i="1"/>
  <c r="W40" i="1"/>
  <c r="V40" i="1"/>
  <c r="U40" i="1" a="1"/>
  <c r="U40" i="1"/>
  <c r="T40" i="1" a="1"/>
  <c r="T40" i="1" s="1"/>
  <c r="S40" i="1" a="1"/>
  <c r="S40" i="1"/>
  <c r="R40" i="1"/>
  <c r="Q40" i="1"/>
  <c r="P40" i="1"/>
  <c r="BM39" i="1"/>
  <c r="BH39" i="1"/>
  <c r="BC39" i="1"/>
  <c r="AP39" i="1"/>
  <c r="AN39" i="1" a="1"/>
  <c r="AN39" i="1" s="1"/>
  <c r="AM39" i="1" a="1"/>
  <c r="AM39" i="1"/>
  <c r="AK39" i="1" a="1"/>
  <c r="AK39" i="1"/>
  <c r="AJ39" i="1"/>
  <c r="AI39" i="1" a="1"/>
  <c r="AI39" i="1" s="1"/>
  <c r="AG39" i="1"/>
  <c r="AF39" i="1" a="1"/>
  <c r="AF39" i="1"/>
  <c r="AE39" i="1" a="1"/>
  <c r="AE39" i="1" s="1"/>
  <c r="AD39" i="1" a="1"/>
  <c r="AD39" i="1"/>
  <c r="AC39" i="1" a="1"/>
  <c r="AC39" i="1" s="1"/>
  <c r="AB39" i="1" a="1"/>
  <c r="AB39" i="1" s="1"/>
  <c r="AA39" i="1" a="1"/>
  <c r="AA39" i="1" s="1"/>
  <c r="X39" i="1"/>
  <c r="W39" i="1"/>
  <c r="V39" i="1"/>
  <c r="U39" i="1" a="1"/>
  <c r="U39" i="1"/>
  <c r="T39" i="1" a="1"/>
  <c r="T39" i="1" s="1"/>
  <c r="S39" i="1" a="1"/>
  <c r="S39" i="1"/>
  <c r="R39" i="1"/>
  <c r="Q39" i="1"/>
  <c r="P39" i="1"/>
  <c r="BM38" i="1"/>
  <c r="BH38" i="1"/>
  <c r="BC38" i="1"/>
  <c r="AP38" i="1"/>
  <c r="AN38" i="1" a="1"/>
  <c r="AN38" i="1" s="1"/>
  <c r="AM38" i="1" a="1"/>
  <c r="AM38" i="1"/>
  <c r="AK38" i="1" a="1"/>
  <c r="AK38" i="1"/>
  <c r="AJ38" i="1"/>
  <c r="AI38" i="1" a="1"/>
  <c r="AI38" i="1"/>
  <c r="AG38" i="1"/>
  <c r="AF38" i="1" a="1"/>
  <c r="AF38" i="1"/>
  <c r="AE38" i="1" a="1"/>
  <c r="AE38" i="1" s="1"/>
  <c r="AD38" i="1" a="1"/>
  <c r="AD38" i="1"/>
  <c r="AC38" i="1" a="1"/>
  <c r="AC38" i="1" s="1"/>
  <c r="AB38" i="1" a="1"/>
  <c r="AB38" i="1"/>
  <c r="AA38" i="1" a="1"/>
  <c r="AA38" i="1" s="1"/>
  <c r="X38" i="1"/>
  <c r="W38" i="1"/>
  <c r="V38" i="1"/>
  <c r="U38" i="1" a="1"/>
  <c r="U38" i="1" s="1"/>
  <c r="T38" i="1" a="1"/>
  <c r="T38" i="1"/>
  <c r="S38" i="1" a="1"/>
  <c r="S38" i="1" s="1"/>
  <c r="R38" i="1"/>
  <c r="Q38" i="1"/>
  <c r="P38" i="1"/>
  <c r="BM37" i="1"/>
  <c r="BH37" i="1"/>
  <c r="BC37" i="1"/>
  <c r="AP37" i="1"/>
  <c r="AN37" i="1" a="1"/>
  <c r="AN37" i="1"/>
  <c r="AM37" i="1" a="1"/>
  <c r="AM37" i="1" s="1"/>
  <c r="AK37" i="1" a="1"/>
  <c r="AK37" i="1" s="1"/>
  <c r="AJ37" i="1"/>
  <c r="AI37" i="1" a="1"/>
  <c r="AI37" i="1"/>
  <c r="AG37" i="1"/>
  <c r="AF37" i="1" a="1"/>
  <c r="AF37" i="1" s="1"/>
  <c r="AE37" i="1" a="1"/>
  <c r="AE37" i="1"/>
  <c r="AD37" i="1" a="1"/>
  <c r="AD37" i="1" s="1"/>
  <c r="AC37" i="1" a="1"/>
  <c r="AC37" i="1"/>
  <c r="AB37" i="1" a="1"/>
  <c r="AB37" i="1" s="1"/>
  <c r="AA37" i="1" a="1"/>
  <c r="AA37" i="1"/>
  <c r="X37" i="1"/>
  <c r="W37" i="1"/>
  <c r="V37" i="1"/>
  <c r="U37" i="1" a="1"/>
  <c r="U37" i="1" s="1"/>
  <c r="T37" i="1" a="1"/>
  <c r="T37" i="1"/>
  <c r="S37" i="1" a="1"/>
  <c r="S37" i="1" s="1"/>
  <c r="R37" i="1"/>
  <c r="Q37" i="1"/>
  <c r="P37" i="1"/>
  <c r="BM36" i="1"/>
  <c r="BH36" i="1"/>
  <c r="BC36" i="1"/>
  <c r="AP36" i="1"/>
  <c r="AN36" i="1" a="1"/>
  <c r="AN36" i="1"/>
  <c r="AM36" i="1" a="1"/>
  <c r="AM36" i="1" s="1"/>
  <c r="AK36" i="1" a="1"/>
  <c r="AK36" i="1" s="1"/>
  <c r="AJ36" i="1"/>
  <c r="AI36" i="1" a="1"/>
  <c r="AI36" i="1" s="1"/>
  <c r="AG36" i="1"/>
  <c r="AF36" i="1" a="1"/>
  <c r="AF36" i="1" s="1"/>
  <c r="AE36" i="1" a="1"/>
  <c r="AE36" i="1"/>
  <c r="AD36" i="1" a="1"/>
  <c r="AD36" i="1" s="1"/>
  <c r="AC36" i="1" a="1"/>
  <c r="AC36" i="1"/>
  <c r="AB36" i="1" a="1"/>
  <c r="AB36" i="1" s="1"/>
  <c r="AA36" i="1" a="1"/>
  <c r="AA36" i="1"/>
  <c r="X36" i="1"/>
  <c r="W36" i="1"/>
  <c r="V36" i="1"/>
  <c r="U36" i="1" a="1"/>
  <c r="U36" i="1"/>
  <c r="T36" i="1" a="1"/>
  <c r="T36" i="1" s="1"/>
  <c r="S36" i="1" a="1"/>
  <c r="S36" i="1"/>
  <c r="R36" i="1"/>
  <c r="Q36" i="1"/>
  <c r="P36" i="1"/>
  <c r="BM35" i="1"/>
  <c r="BH35" i="1"/>
  <c r="BC35" i="1"/>
  <c r="AP35" i="1"/>
  <c r="AN35" i="1" a="1"/>
  <c r="AN35" i="1" s="1"/>
  <c r="AM35" i="1" a="1"/>
  <c r="AM35" i="1"/>
  <c r="AK35" i="1" a="1"/>
  <c r="AK35" i="1"/>
  <c r="AJ35" i="1"/>
  <c r="AI35" i="1" a="1"/>
  <c r="AI35" i="1" s="1"/>
  <c r="AG35" i="1"/>
  <c r="AF35" i="1" a="1"/>
  <c r="AF35" i="1"/>
  <c r="AE35" i="1" a="1"/>
  <c r="AE35" i="1" s="1"/>
  <c r="AD35" i="1" a="1"/>
  <c r="AD35" i="1"/>
  <c r="AC35" i="1" a="1"/>
  <c r="AC35" i="1" s="1"/>
  <c r="AB35" i="1" a="1"/>
  <c r="AB35" i="1" s="1"/>
  <c r="AA35" i="1" a="1"/>
  <c r="AA35" i="1" s="1"/>
  <c r="X35" i="1"/>
  <c r="W35" i="1"/>
  <c r="V35" i="1"/>
  <c r="U35" i="1" a="1"/>
  <c r="U35" i="1"/>
  <c r="T35" i="1" a="1"/>
  <c r="T35" i="1" s="1"/>
  <c r="S35" i="1" a="1"/>
  <c r="S35" i="1"/>
  <c r="R35" i="1"/>
  <c r="Q35" i="1"/>
  <c r="P35" i="1"/>
  <c r="AP34" i="1"/>
  <c r="AN34" i="1" a="1"/>
  <c r="AN34" i="1" s="1"/>
  <c r="AM34" i="1" a="1"/>
  <c r="AM34" i="1" s="1"/>
  <c r="AK34" i="1" a="1"/>
  <c r="AK34" i="1" s="1"/>
  <c r="AJ34" i="1"/>
  <c r="AI34" i="1" a="1"/>
  <c r="AI34" i="1"/>
  <c r="AG34" i="1"/>
  <c r="AF34" i="1" a="1"/>
  <c r="AF34" i="1" s="1"/>
  <c r="AE34" i="1" a="1"/>
  <c r="AE34" i="1"/>
  <c r="AD34" i="1" a="1"/>
  <c r="AD34" i="1" s="1"/>
  <c r="AC34" i="1" a="1"/>
  <c r="AC34" i="1" s="1"/>
  <c r="AB34" i="1" a="1"/>
  <c r="AB34" i="1" s="1"/>
  <c r="AA34" i="1" a="1"/>
  <c r="AA34" i="1" s="1"/>
  <c r="X34" i="1"/>
  <c r="W34" i="1"/>
  <c r="V34" i="1"/>
  <c r="U34" i="1" a="1"/>
  <c r="U34" i="1"/>
  <c r="T34" i="1" a="1"/>
  <c r="T34" i="1"/>
  <c r="S34" i="1" a="1"/>
  <c r="S34" i="1" s="1"/>
  <c r="R34" i="1"/>
  <c r="Q34" i="1"/>
  <c r="P34" i="1"/>
  <c r="AP33" i="1"/>
  <c r="AN33" i="1" a="1"/>
  <c r="AN33" i="1" s="1"/>
  <c r="AM33" i="1" a="1"/>
  <c r="AM33" i="1" s="1"/>
  <c r="AK33" i="1" a="1"/>
  <c r="AK33" i="1" s="1"/>
  <c r="AJ33" i="1"/>
  <c r="AI33" i="1" a="1"/>
  <c r="AI33" i="1"/>
  <c r="AG33" i="1"/>
  <c r="AF33" i="1" a="1"/>
  <c r="AF33" i="1" s="1"/>
  <c r="AE33" i="1" a="1"/>
  <c r="AE33" i="1" s="1"/>
  <c r="AD33" i="1" a="1"/>
  <c r="AD33" i="1" s="1"/>
  <c r="AC33" i="1" a="1"/>
  <c r="AC33" i="1" s="1"/>
  <c r="AB33" i="1" a="1"/>
  <c r="AB33" i="1" s="1"/>
  <c r="AA33" i="1" a="1"/>
  <c r="AA33" i="1" s="1"/>
  <c r="X33" i="1"/>
  <c r="W33" i="1"/>
  <c r="V33" i="1"/>
  <c r="U33" i="1" a="1"/>
  <c r="U33" i="1"/>
  <c r="T33" i="1" a="1"/>
  <c r="T33" i="1"/>
  <c r="S33" i="1" a="1"/>
  <c r="S33" i="1"/>
  <c r="R33" i="1"/>
  <c r="Q33" i="1"/>
  <c r="P33" i="1"/>
  <c r="AP32" i="1"/>
  <c r="AN32" i="1" a="1"/>
  <c r="AN32" i="1" s="1"/>
  <c r="AM32" i="1" a="1"/>
  <c r="AM32" i="1" s="1"/>
  <c r="AK32" i="1" a="1"/>
  <c r="AK32" i="1" s="1"/>
  <c r="AJ32" i="1"/>
  <c r="AI32" i="1" a="1"/>
  <c r="AI32" i="1"/>
  <c r="AG32" i="1"/>
  <c r="AF32" i="1" a="1"/>
  <c r="AF32" i="1" s="1"/>
  <c r="AE32" i="1" a="1"/>
  <c r="AE32" i="1" s="1"/>
  <c r="AD32" i="1" a="1"/>
  <c r="AD32" i="1" s="1"/>
  <c r="AC32" i="1" a="1"/>
  <c r="AC32" i="1" s="1"/>
  <c r="AB32" i="1" a="1"/>
  <c r="AB32" i="1" s="1"/>
  <c r="AA32" i="1" a="1"/>
  <c r="AA32" i="1" s="1"/>
  <c r="X32" i="1"/>
  <c r="W32" i="1"/>
  <c r="V32" i="1"/>
  <c r="U32" i="1" a="1"/>
  <c r="U32" i="1"/>
  <c r="T32" i="1" a="1"/>
  <c r="T32" i="1"/>
  <c r="S32" i="1" a="1"/>
  <c r="S32" i="1"/>
  <c r="R32" i="1"/>
  <c r="Q32" i="1"/>
  <c r="P32" i="1"/>
  <c r="BT31" i="1"/>
  <c r="BP31" i="1"/>
  <c r="BL31" i="1"/>
  <c r="BH31" i="1"/>
  <c r="BC31" i="1"/>
  <c r="AP31" i="1"/>
  <c r="AN31" i="1" a="1"/>
  <c r="AN31" i="1"/>
  <c r="AM31" i="1" a="1"/>
  <c r="AM31" i="1"/>
  <c r="AK31" i="1" a="1"/>
  <c r="AK31" i="1"/>
  <c r="AJ31" i="1"/>
  <c r="AI31" i="1" a="1"/>
  <c r="AI31" i="1" s="1"/>
  <c r="AG31" i="1"/>
  <c r="AF31" i="1" a="1"/>
  <c r="AF31" i="1"/>
  <c r="AE31" i="1" a="1"/>
  <c r="AE31" i="1"/>
  <c r="AD31" i="1" a="1"/>
  <c r="AD31" i="1"/>
  <c r="AC31" i="1" a="1"/>
  <c r="AC31" i="1"/>
  <c r="AB31" i="1" a="1"/>
  <c r="AB31" i="1"/>
  <c r="AA31" i="1" a="1"/>
  <c r="AA31" i="1"/>
  <c r="X31" i="1"/>
  <c r="W31" i="1"/>
  <c r="V31" i="1"/>
  <c r="U31" i="1" a="1"/>
  <c r="U31" i="1" s="1"/>
  <c r="T31" i="1" a="1"/>
  <c r="T31" i="1" s="1"/>
  <c r="S31" i="1" a="1"/>
  <c r="S31" i="1" s="1"/>
  <c r="R31" i="1"/>
  <c r="Q31" i="1"/>
  <c r="P31" i="1"/>
  <c r="BT30" i="1"/>
  <c r="BP30" i="1"/>
  <c r="BL30" i="1"/>
  <c r="BH30" i="1"/>
  <c r="BC30" i="1"/>
  <c r="AP30" i="1"/>
  <c r="AN30" i="1" a="1"/>
  <c r="AN30" i="1" s="1"/>
  <c r="AM30" i="1" a="1"/>
  <c r="AM30" i="1" s="1"/>
  <c r="AK30" i="1" a="1"/>
  <c r="AK30" i="1" s="1"/>
  <c r="AJ30" i="1"/>
  <c r="AI30" i="1" a="1"/>
  <c r="AI30" i="1"/>
  <c r="AG30" i="1"/>
  <c r="AF30" i="1" a="1"/>
  <c r="AF30" i="1" s="1"/>
  <c r="AE30" i="1" a="1"/>
  <c r="AE30" i="1" s="1"/>
  <c r="AD30" i="1" a="1"/>
  <c r="AD30" i="1" s="1"/>
  <c r="AC30" i="1" a="1"/>
  <c r="AC30" i="1" s="1"/>
  <c r="AB30" i="1" a="1"/>
  <c r="AB30" i="1" s="1"/>
  <c r="AA30" i="1" a="1"/>
  <c r="AA30" i="1" s="1"/>
  <c r="X30" i="1"/>
  <c r="W30" i="1"/>
  <c r="V30" i="1"/>
  <c r="U30" i="1" a="1"/>
  <c r="U30" i="1"/>
  <c r="T30" i="1" a="1"/>
  <c r="T30" i="1"/>
  <c r="S30" i="1" a="1"/>
  <c r="S30" i="1"/>
  <c r="R30" i="1"/>
  <c r="Q30" i="1"/>
  <c r="P30" i="1"/>
  <c r="BT29" i="1"/>
  <c r="BP29" i="1"/>
  <c r="BL29" i="1"/>
  <c r="BH29" i="1"/>
  <c r="BC29" i="1"/>
  <c r="AP29" i="1"/>
  <c r="AN29" i="1" a="1"/>
  <c r="AN29" i="1" s="1"/>
  <c r="AM29" i="1" a="1"/>
  <c r="AM29" i="1"/>
  <c r="AK29" i="1" a="1"/>
  <c r="AK29" i="1"/>
  <c r="AJ29" i="1"/>
  <c r="AI29" i="1" a="1"/>
  <c r="AI29" i="1"/>
  <c r="AG29" i="1"/>
  <c r="AF29" i="1" a="1"/>
  <c r="AF29" i="1"/>
  <c r="AE29" i="1" a="1"/>
  <c r="AE29" i="1" s="1"/>
  <c r="AD29" i="1" a="1"/>
  <c r="AD29" i="1"/>
  <c r="AC29" i="1" a="1"/>
  <c r="AC29" i="1" s="1"/>
  <c r="AB29" i="1" a="1"/>
  <c r="AB29" i="1"/>
  <c r="AA29" i="1" a="1"/>
  <c r="AA29" i="1" s="1"/>
  <c r="X29" i="1"/>
  <c r="W29" i="1"/>
  <c r="V29" i="1"/>
  <c r="U29" i="1" a="1"/>
  <c r="U29" i="1" s="1"/>
  <c r="T29" i="1" a="1"/>
  <c r="T29" i="1"/>
  <c r="S29" i="1" a="1"/>
  <c r="S29" i="1" s="1"/>
  <c r="R29" i="1"/>
  <c r="Q29" i="1"/>
  <c r="P29" i="1"/>
  <c r="BT28" i="1"/>
  <c r="BP28" i="1"/>
  <c r="BL28" i="1"/>
  <c r="BH28" i="1"/>
  <c r="BC28" i="1"/>
  <c r="AP28" i="1"/>
  <c r="AN28" i="1" a="1"/>
  <c r="AN28" i="1" s="1"/>
  <c r="AM28" i="1" a="1"/>
  <c r="AM28" i="1"/>
  <c r="AK28" i="1" a="1"/>
  <c r="AK28" i="1"/>
  <c r="AJ28" i="1"/>
  <c r="AI28" i="1" a="1"/>
  <c r="AI28" i="1" s="1"/>
  <c r="AG28" i="1"/>
  <c r="AF28" i="1" a="1"/>
  <c r="AF28" i="1"/>
  <c r="AE28" i="1" a="1"/>
  <c r="AE28" i="1" s="1"/>
  <c r="AD28" i="1" a="1"/>
  <c r="AD28" i="1"/>
  <c r="AC28" i="1" a="1"/>
  <c r="AC28" i="1" s="1"/>
  <c r="AB28" i="1" a="1"/>
  <c r="AB28" i="1"/>
  <c r="AA28" i="1" a="1"/>
  <c r="AA28" i="1" s="1"/>
  <c r="X28" i="1"/>
  <c r="W28" i="1"/>
  <c r="V28" i="1"/>
  <c r="U28" i="1" a="1"/>
  <c r="U28" i="1"/>
  <c r="T28" i="1" a="1"/>
  <c r="T28" i="1"/>
  <c r="S28" i="1" a="1"/>
  <c r="S28" i="1"/>
  <c r="R28" i="1"/>
  <c r="Q28" i="1"/>
  <c r="P28" i="1"/>
  <c r="BT27" i="1"/>
  <c r="BP27" i="1"/>
  <c r="BL27" i="1"/>
  <c r="BH27" i="1"/>
  <c r="BC27" i="1"/>
  <c r="AP27" i="1"/>
  <c r="AN27" i="1" a="1"/>
  <c r="AN27" i="1"/>
  <c r="AM27" i="1" a="1"/>
  <c r="AM27" i="1"/>
  <c r="AK27" i="1" a="1"/>
  <c r="AK27" i="1" s="1"/>
  <c r="AJ27" i="1"/>
  <c r="AI27" i="1" a="1"/>
  <c r="AI27" i="1" s="1"/>
  <c r="AG27" i="1"/>
  <c r="AF27" i="1" a="1"/>
  <c r="AF27" i="1" s="1"/>
  <c r="AE27" i="1" a="1"/>
  <c r="AE27" i="1"/>
  <c r="AD27" i="1" a="1"/>
  <c r="AD27" i="1" s="1"/>
  <c r="AC27" i="1" a="1"/>
  <c r="AC27" i="1"/>
  <c r="AB27" i="1" a="1"/>
  <c r="AB27" i="1" s="1"/>
  <c r="AA27" i="1" a="1"/>
  <c r="AA27" i="1"/>
  <c r="X27" i="1"/>
  <c r="W27" i="1"/>
  <c r="V27" i="1"/>
  <c r="U27" i="1" a="1"/>
  <c r="U27" i="1"/>
  <c r="T27" i="1" a="1"/>
  <c r="T27" i="1" s="1"/>
  <c r="S27" i="1" a="1"/>
  <c r="S27" i="1"/>
  <c r="R27" i="1"/>
  <c r="Q27" i="1"/>
  <c r="P27" i="1"/>
  <c r="BT26" i="1"/>
  <c r="BP26" i="1"/>
  <c r="BL26" i="1"/>
  <c r="BH26" i="1"/>
  <c r="BC26" i="1"/>
  <c r="AP26" i="1"/>
  <c r="AN26" i="1" a="1"/>
  <c r="AN26" i="1"/>
  <c r="AM26" i="1" a="1"/>
  <c r="AM26" i="1" s="1"/>
  <c r="AK26" i="1" a="1"/>
  <c r="AK26" i="1" s="1"/>
  <c r="AJ26" i="1"/>
  <c r="AI26" i="1" a="1"/>
  <c r="AI26" i="1"/>
  <c r="AG26" i="1"/>
  <c r="AF26" i="1" a="1"/>
  <c r="AF26" i="1" s="1"/>
  <c r="AE26" i="1" a="1"/>
  <c r="AE26" i="1"/>
  <c r="AD26" i="1" a="1"/>
  <c r="AD26" i="1" s="1"/>
  <c r="AC26" i="1" a="1"/>
  <c r="AC26" i="1"/>
  <c r="AB26" i="1" a="1"/>
  <c r="AB26" i="1" s="1"/>
  <c r="AA26" i="1" a="1"/>
  <c r="AA26" i="1"/>
  <c r="X26" i="1"/>
  <c r="W26" i="1"/>
  <c r="V26" i="1"/>
  <c r="U26" i="1" a="1"/>
  <c r="U26" i="1"/>
  <c r="T26" i="1" a="1"/>
  <c r="T26" i="1"/>
  <c r="S26" i="1" a="1"/>
  <c r="S26" i="1"/>
  <c r="R26" i="1"/>
  <c r="Q26" i="1"/>
  <c r="P26" i="1"/>
  <c r="BT25" i="1"/>
  <c r="BP25" i="1"/>
  <c r="BL25" i="1"/>
  <c r="BH25" i="1"/>
  <c r="BC25" i="1"/>
  <c r="AP25" i="1"/>
  <c r="AN25" i="1" a="1"/>
  <c r="AN25" i="1" s="1"/>
  <c r="AM25" i="1" a="1"/>
  <c r="AM25" i="1"/>
  <c r="AK25" i="1" a="1"/>
  <c r="AK25" i="1"/>
  <c r="AJ25" i="1"/>
  <c r="AI25" i="1" a="1"/>
  <c r="AI25" i="1"/>
  <c r="AG25" i="1"/>
  <c r="AF25" i="1" a="1"/>
  <c r="AF25" i="1"/>
  <c r="AE25" i="1" a="1"/>
  <c r="AE25" i="1"/>
  <c r="AD25" i="1" a="1"/>
  <c r="AD25" i="1"/>
  <c r="AC25" i="1" a="1"/>
  <c r="AC25" i="1" s="1"/>
  <c r="AB25" i="1" a="1"/>
  <c r="AB25" i="1"/>
  <c r="AA25" i="1" a="1"/>
  <c r="AA25" i="1" s="1"/>
  <c r="X25" i="1"/>
  <c r="W25" i="1"/>
  <c r="V25" i="1"/>
  <c r="U25" i="1" a="1"/>
  <c r="U25" i="1" s="1"/>
  <c r="T25" i="1" a="1"/>
  <c r="T25" i="1"/>
  <c r="S25" i="1" a="1"/>
  <c r="S25" i="1" s="1"/>
  <c r="R25" i="1"/>
  <c r="Q25" i="1"/>
  <c r="P25" i="1"/>
  <c r="BT24" i="1"/>
  <c r="BP24" i="1"/>
  <c r="BL24" i="1"/>
  <c r="BH24" i="1"/>
  <c r="BC24" i="1"/>
  <c r="AP24" i="1"/>
  <c r="AN24" i="1" a="1"/>
  <c r="AN24" i="1" s="1"/>
  <c r="AM24" i="1" a="1"/>
  <c r="AM24" i="1"/>
  <c r="AK24" i="1" a="1"/>
  <c r="AK24" i="1"/>
  <c r="AJ24" i="1"/>
  <c r="AI24" i="1" a="1"/>
  <c r="AI24" i="1"/>
  <c r="AG24" i="1"/>
  <c r="AF24" i="1" a="1"/>
  <c r="AF24" i="1"/>
  <c r="AE24" i="1" a="1"/>
  <c r="AE24" i="1" s="1"/>
  <c r="AD24" i="1" a="1"/>
  <c r="AD24" i="1"/>
  <c r="AC24" i="1" a="1"/>
  <c r="AC24" i="1" s="1"/>
  <c r="AB24" i="1" a="1"/>
  <c r="AB24" i="1"/>
  <c r="AA24" i="1" a="1"/>
  <c r="AA24" i="1" s="1"/>
  <c r="X24" i="1"/>
  <c r="W24" i="1"/>
  <c r="V24" i="1"/>
  <c r="U24" i="1" a="1"/>
  <c r="U24" i="1"/>
  <c r="T24" i="1" a="1"/>
  <c r="T24" i="1"/>
  <c r="S24" i="1" a="1"/>
  <c r="S24" i="1"/>
  <c r="R24" i="1"/>
  <c r="Q24" i="1"/>
  <c r="P24" i="1"/>
  <c r="BT23" i="1"/>
  <c r="BP23" i="1"/>
  <c r="BL23" i="1"/>
  <c r="BH23" i="1"/>
  <c r="BC23" i="1"/>
  <c r="AP23" i="1"/>
  <c r="AN23" i="1" a="1"/>
  <c r="AN23" i="1"/>
  <c r="AM23" i="1" a="1"/>
  <c r="AM23" i="1"/>
  <c r="AK23" i="1" a="1"/>
  <c r="AK23" i="1" s="1"/>
  <c r="AJ23" i="1"/>
  <c r="AI23" i="1" a="1"/>
  <c r="AI23" i="1" s="1"/>
  <c r="AG23" i="1"/>
  <c r="AF23" i="1" a="1"/>
  <c r="AF23" i="1" s="1"/>
  <c r="AE23" i="1" a="1"/>
  <c r="AE23" i="1"/>
  <c r="AD23" i="1" a="1"/>
  <c r="AD23" i="1" s="1"/>
  <c r="AC23" i="1" a="1"/>
  <c r="AC23" i="1"/>
  <c r="AB23" i="1" a="1"/>
  <c r="AB23" i="1" s="1"/>
  <c r="AA23" i="1" a="1"/>
  <c r="AA23" i="1"/>
  <c r="X23" i="1"/>
  <c r="W23" i="1"/>
  <c r="V23" i="1"/>
  <c r="U23" i="1" a="1"/>
  <c r="U23" i="1"/>
  <c r="T23" i="1" a="1"/>
  <c r="T23" i="1" s="1"/>
  <c r="S23" i="1" a="1"/>
  <c r="S23" i="1"/>
  <c r="R23" i="1"/>
  <c r="Q23" i="1"/>
  <c r="P23" i="1"/>
  <c r="BT22" i="1"/>
  <c r="BP22" i="1"/>
  <c r="BL22" i="1"/>
  <c r="BH22" i="1"/>
  <c r="BC22" i="1"/>
  <c r="AP22" i="1"/>
  <c r="AN22" i="1" a="1"/>
  <c r="AN22" i="1"/>
  <c r="AM22" i="1" a="1"/>
  <c r="AM22" i="1" s="1"/>
  <c r="AK22" i="1" a="1"/>
  <c r="AK22" i="1" s="1"/>
  <c r="AJ22" i="1"/>
  <c r="AI22" i="1" a="1"/>
  <c r="AI22" i="1"/>
  <c r="AG22" i="1"/>
  <c r="AF22" i="1" a="1"/>
  <c r="AF22" i="1" s="1"/>
  <c r="AE22" i="1" a="1"/>
  <c r="AE22" i="1"/>
  <c r="AD22" i="1" a="1"/>
  <c r="AD22" i="1" s="1"/>
  <c r="AC22" i="1" a="1"/>
  <c r="AC22" i="1"/>
  <c r="AB22" i="1" a="1"/>
  <c r="AB22" i="1" s="1"/>
  <c r="AA22" i="1" a="1"/>
  <c r="AA22" i="1"/>
  <c r="X22" i="1"/>
  <c r="W22" i="1"/>
  <c r="V22" i="1"/>
  <c r="U22" i="1" a="1"/>
  <c r="U22" i="1"/>
  <c r="T22" i="1" a="1"/>
  <c r="T22" i="1"/>
  <c r="S22" i="1" a="1"/>
  <c r="S22" i="1"/>
  <c r="R22" i="1"/>
  <c r="Q22" i="1"/>
  <c r="P22" i="1"/>
  <c r="BT21" i="1"/>
  <c r="BP21" i="1"/>
  <c r="BL21" i="1"/>
  <c r="BH21" i="1"/>
  <c r="BC21" i="1"/>
  <c r="AP21" i="1"/>
  <c r="AN21" i="1" a="1"/>
  <c r="AN21" i="1"/>
  <c r="AM21" i="1" a="1"/>
  <c r="AM21" i="1"/>
  <c r="AK21" i="1" a="1"/>
  <c r="AK21" i="1" s="1"/>
  <c r="AJ21" i="1"/>
  <c r="AI21" i="1" a="1"/>
  <c r="AI21" i="1" s="1"/>
  <c r="AG21" i="1"/>
  <c r="AF21" i="1" a="1"/>
  <c r="AF21" i="1" s="1"/>
  <c r="AE21" i="1" a="1"/>
  <c r="AE21" i="1"/>
  <c r="AD21" i="1" a="1"/>
  <c r="AD21" i="1" s="1"/>
  <c r="AC21" i="1" a="1"/>
  <c r="AC21" i="1"/>
  <c r="AB21" i="1" a="1"/>
  <c r="AB21" i="1" s="1"/>
  <c r="AA21" i="1" a="1"/>
  <c r="AA21" i="1"/>
  <c r="X21" i="1"/>
  <c r="W21" i="1"/>
  <c r="V21" i="1"/>
  <c r="U21" i="1" a="1"/>
  <c r="U21" i="1" s="1"/>
  <c r="T21" i="1" a="1"/>
  <c r="T21" i="1"/>
  <c r="S21" i="1" a="1"/>
  <c r="S21" i="1" s="1"/>
  <c r="R21" i="1"/>
  <c r="Q21" i="1"/>
  <c r="P21" i="1"/>
  <c r="AP20" i="1"/>
  <c r="AN20" i="1" a="1"/>
  <c r="AN20" i="1"/>
  <c r="AM20" i="1" a="1"/>
  <c r="AM20" i="1" s="1"/>
  <c r="AK20" i="1" a="1"/>
  <c r="AK20" i="1" s="1"/>
  <c r="AJ20" i="1"/>
  <c r="AI20" i="1" a="1"/>
  <c r="AI20" i="1" s="1"/>
  <c r="AG20" i="1"/>
  <c r="AF20" i="1" a="1"/>
  <c r="AF20" i="1" s="1"/>
  <c r="AE20" i="1" a="1"/>
  <c r="AE20" i="1"/>
  <c r="AD20" i="1" a="1"/>
  <c r="AD20" i="1" s="1"/>
  <c r="AC20" i="1" a="1"/>
  <c r="AC20" i="1"/>
  <c r="AB20" i="1" a="1"/>
  <c r="AB20" i="1" s="1"/>
  <c r="AA20" i="1" a="1"/>
  <c r="AA20" i="1"/>
  <c r="X20" i="1"/>
  <c r="W20" i="1"/>
  <c r="V20" i="1"/>
  <c r="U20" i="1" a="1"/>
  <c r="U20" i="1" s="1"/>
  <c r="T20" i="1" a="1"/>
  <c r="T20" i="1"/>
  <c r="S20" i="1" a="1"/>
  <c r="S20" i="1" s="1"/>
  <c r="R20" i="1"/>
  <c r="Q20" i="1"/>
  <c r="P20" i="1"/>
  <c r="AP19" i="1"/>
  <c r="AN19" i="1" a="1"/>
  <c r="AN19" i="1" s="1"/>
  <c r="AM19" i="1" a="1"/>
  <c r="AM19" i="1" s="1"/>
  <c r="AK19" i="1" a="1"/>
  <c r="AK19" i="1" s="1"/>
  <c r="AJ19" i="1"/>
  <c r="AI19" i="1" a="1"/>
  <c r="AI19" i="1" s="1"/>
  <c r="AG19" i="1"/>
  <c r="AF19" i="1" a="1"/>
  <c r="AF19" i="1" s="1"/>
  <c r="AE19" i="1" a="1"/>
  <c r="AE19" i="1"/>
  <c r="AD19" i="1" a="1"/>
  <c r="AD19" i="1" s="1"/>
  <c r="AC19" i="1" a="1"/>
  <c r="AC19" i="1" s="1"/>
  <c r="AB19" i="1" a="1"/>
  <c r="AB19" i="1" s="1"/>
  <c r="AA19" i="1" a="1"/>
  <c r="AA19" i="1" s="1"/>
  <c r="X19" i="1"/>
  <c r="W19" i="1"/>
  <c r="V19" i="1"/>
  <c r="U19" i="1" a="1"/>
  <c r="U19" i="1"/>
  <c r="T19" i="1" a="1"/>
  <c r="T19" i="1" s="1"/>
  <c r="S19" i="1" a="1"/>
  <c r="S19" i="1"/>
  <c r="R19" i="1"/>
  <c r="Q19" i="1"/>
  <c r="P19" i="1"/>
  <c r="AP18" i="1"/>
  <c r="AN18" i="1" a="1"/>
  <c r="AN18" i="1" s="1"/>
  <c r="AM18" i="1" a="1"/>
  <c r="AM18" i="1" s="1"/>
  <c r="AK18" i="1" a="1"/>
  <c r="AK18" i="1" s="1"/>
  <c r="AJ18" i="1"/>
  <c r="AI18" i="1" a="1"/>
  <c r="AI18" i="1"/>
  <c r="AG18" i="1"/>
  <c r="AF18" i="1" a="1"/>
  <c r="AF18" i="1" s="1"/>
  <c r="AE18" i="1" a="1"/>
  <c r="AE18" i="1" s="1"/>
  <c r="AD18" i="1" a="1"/>
  <c r="AD18" i="1"/>
  <c r="AC18" i="1" a="1"/>
  <c r="AC18" i="1" s="1"/>
  <c r="AB18" i="1" a="1"/>
  <c r="AB18" i="1"/>
  <c r="AA18" i="1" a="1"/>
  <c r="AA18" i="1" s="1"/>
  <c r="X18" i="1"/>
  <c r="W18" i="1"/>
  <c r="V18" i="1"/>
  <c r="U18" i="1" a="1"/>
  <c r="U18" i="1"/>
  <c r="T18" i="1" a="1"/>
  <c r="T18" i="1"/>
  <c r="S18" i="1" a="1"/>
  <c r="S18" i="1"/>
  <c r="R18" i="1"/>
  <c r="Q18" i="1"/>
  <c r="P18" i="1"/>
  <c r="AP17" i="1"/>
  <c r="AN17" i="1" a="1"/>
  <c r="AN17" i="1" s="1"/>
  <c r="AM17" i="1" a="1"/>
  <c r="AM17" i="1" s="1"/>
  <c r="AK17" i="1" a="1"/>
  <c r="AK17" i="1" s="1"/>
  <c r="AJ17" i="1"/>
  <c r="AI17" i="1" a="1"/>
  <c r="AI17" i="1"/>
  <c r="AG17" i="1"/>
  <c r="AF17" i="1" a="1"/>
  <c r="AF17" i="1" s="1"/>
  <c r="AE17" i="1" a="1"/>
  <c r="AE17" i="1" s="1"/>
  <c r="AD17" i="1" a="1"/>
  <c r="AD17" i="1" s="1"/>
  <c r="AC17" i="1" a="1"/>
  <c r="AC17" i="1"/>
  <c r="AB17" i="1" a="1"/>
  <c r="AB17" i="1" s="1"/>
  <c r="AA17" i="1" a="1"/>
  <c r="AA17" i="1"/>
  <c r="X17" i="1"/>
  <c r="W17" i="1"/>
  <c r="V17" i="1"/>
  <c r="U17" i="1" a="1"/>
  <c r="U17" i="1"/>
  <c r="T17" i="1" a="1"/>
  <c r="T17" i="1" s="1"/>
  <c r="S17" i="1" a="1"/>
  <c r="S17" i="1"/>
  <c r="R17" i="1"/>
  <c r="Q17" i="1"/>
  <c r="P17" i="1"/>
  <c r="AP16" i="1"/>
  <c r="AN16" i="1" a="1"/>
  <c r="AN16" i="1" s="1"/>
  <c r="AM16" i="1" a="1"/>
  <c r="AM16" i="1" s="1"/>
  <c r="AK16" i="1" a="1"/>
  <c r="AK16" i="1" s="1"/>
  <c r="AJ16" i="1"/>
  <c r="AI16" i="1" a="1"/>
  <c r="AI16" i="1" s="1"/>
  <c r="AG16" i="1"/>
  <c r="AF16" i="1" a="1"/>
  <c r="AF16" i="1" s="1"/>
  <c r="AE16" i="1" a="1"/>
  <c r="AE16" i="1" s="1"/>
  <c r="AD16" i="1" a="1"/>
  <c r="AD16" i="1"/>
  <c r="AC16" i="1" a="1"/>
  <c r="AC16" i="1" s="1"/>
  <c r="AB16" i="1" a="1"/>
  <c r="AB16" i="1" s="1"/>
  <c r="AA16" i="1" a="1"/>
  <c r="AA16" i="1" s="1"/>
  <c r="X16" i="1"/>
  <c r="W16" i="1"/>
  <c r="V16" i="1"/>
  <c r="U16" i="1" a="1"/>
  <c r="U16" i="1" s="1"/>
  <c r="T16" i="1" a="1"/>
  <c r="T16" i="1" s="1"/>
  <c r="S16" i="1" a="1"/>
  <c r="S16" i="1" s="1"/>
  <c r="R16" i="1"/>
  <c r="Q16" i="1"/>
  <c r="P16" i="1"/>
  <c r="BJ15" i="1"/>
  <c r="BI15" i="1"/>
  <c r="BH15" i="1"/>
  <c r="BG15" i="1"/>
  <c r="AP15" i="1"/>
  <c r="AN15" i="1" a="1"/>
  <c r="AN15" i="1"/>
  <c r="AM15" i="1" a="1"/>
  <c r="AM15" i="1" s="1"/>
  <c r="AK15" i="1" a="1"/>
  <c r="AK15" i="1" s="1"/>
  <c r="AJ15" i="1"/>
  <c r="AI15" i="1" a="1"/>
  <c r="AI15" i="1" s="1"/>
  <c r="AG15" i="1"/>
  <c r="AF15" i="1" a="1"/>
  <c r="AF15" i="1" s="1"/>
  <c r="AE15" i="1" a="1"/>
  <c r="AE15" i="1"/>
  <c r="AD15" i="1" a="1"/>
  <c r="AD15" i="1" s="1"/>
  <c r="AC15" i="1" a="1"/>
  <c r="AC15" i="1" s="1"/>
  <c r="AB15" i="1" a="1"/>
  <c r="AB15" i="1" s="1"/>
  <c r="AA15" i="1" a="1"/>
  <c r="AA15" i="1"/>
  <c r="X15" i="1"/>
  <c r="W15" i="1"/>
  <c r="V15" i="1"/>
  <c r="U15" i="1" a="1"/>
  <c r="U15" i="1" s="1"/>
  <c r="T15" i="1" a="1"/>
  <c r="T15" i="1" s="1"/>
  <c r="S15" i="1" a="1"/>
  <c r="S15" i="1"/>
  <c r="R15" i="1"/>
  <c r="Q15" i="1"/>
  <c r="P15" i="1"/>
  <c r="BJ14" i="1"/>
  <c r="BI14" i="1"/>
  <c r="BH14" i="1"/>
  <c r="BG14" i="1"/>
  <c r="AP14" i="1"/>
  <c r="AN14" i="1" a="1"/>
  <c r="AN14" i="1" s="1"/>
  <c r="AM14" i="1" a="1"/>
  <c r="AM14" i="1" s="1"/>
  <c r="AK14" i="1" a="1"/>
  <c r="AK14" i="1" s="1"/>
  <c r="AJ14" i="1"/>
  <c r="AI14" i="1" a="1"/>
  <c r="AI14" i="1" s="1"/>
  <c r="AG14" i="1"/>
  <c r="AF14" i="1" a="1"/>
  <c r="AF14" i="1" s="1"/>
  <c r="AE14" i="1" a="1"/>
  <c r="AE14" i="1" s="1"/>
  <c r="AD14" i="1" a="1"/>
  <c r="AD14" i="1" s="1"/>
  <c r="AC14" i="1" a="1"/>
  <c r="AC14" i="1" s="1"/>
  <c r="AB14" i="1" a="1"/>
  <c r="AB14" i="1" s="1"/>
  <c r="AA14" i="1" a="1"/>
  <c r="AA14" i="1" s="1"/>
  <c r="X14" i="1"/>
  <c r="W14" i="1"/>
  <c r="V14" i="1"/>
  <c r="U14" i="1" a="1"/>
  <c r="U14" i="1" s="1"/>
  <c r="T14" i="1" a="1"/>
  <c r="T14" i="1" s="1"/>
  <c r="S14" i="1" a="1"/>
  <c r="S14" i="1" s="1"/>
  <c r="R14" i="1"/>
  <c r="Q14" i="1"/>
  <c r="P14" i="1"/>
  <c r="BJ13" i="1"/>
  <c r="BI13" i="1"/>
  <c r="BH13" i="1"/>
  <c r="BG13" i="1"/>
  <c r="AP13" i="1"/>
  <c r="AN13" i="1" a="1"/>
  <c r="AN13" i="1" s="1"/>
  <c r="AM13" i="1" a="1"/>
  <c r="AM13" i="1" s="1"/>
  <c r="AK13" i="1" a="1"/>
  <c r="AK13" i="1" s="1"/>
  <c r="AJ13" i="1"/>
  <c r="AI13" i="1" a="1"/>
  <c r="AI13" i="1" s="1"/>
  <c r="AG13" i="1"/>
  <c r="AF13" i="1" a="1"/>
  <c r="AF13" i="1" s="1"/>
  <c r="AE13" i="1" a="1"/>
  <c r="AE13" i="1" s="1"/>
  <c r="AD13" i="1" a="1"/>
  <c r="AD13" i="1" s="1"/>
  <c r="AC13" i="1" a="1"/>
  <c r="AC13" i="1" s="1"/>
  <c r="AB13" i="1" a="1"/>
  <c r="AB13" i="1" s="1"/>
  <c r="AA13" i="1" a="1"/>
  <c r="AA13" i="1" s="1"/>
  <c r="X13" i="1"/>
  <c r="W13" i="1"/>
  <c r="V13" i="1"/>
  <c r="U13" i="1" a="1"/>
  <c r="U13" i="1"/>
  <c r="T13" i="1" a="1"/>
  <c r="T13" i="1" s="1"/>
  <c r="S13" i="1" a="1"/>
  <c r="S13" i="1"/>
  <c r="R13" i="1"/>
  <c r="Q13" i="1"/>
  <c r="P13" i="1"/>
  <c r="BJ12" i="1"/>
  <c r="BI12" i="1"/>
  <c r="BH12" i="1"/>
  <c r="BG12" i="1"/>
  <c r="AP12" i="1"/>
  <c r="AN12" i="1" a="1"/>
  <c r="AN12" i="1" s="1"/>
  <c r="AM12" i="1" a="1"/>
  <c r="AM12" i="1" s="1"/>
  <c r="AK12" i="1" a="1"/>
  <c r="AK12" i="1" s="1"/>
  <c r="AJ12" i="1"/>
  <c r="AI12" i="1" a="1"/>
  <c r="AI12" i="1"/>
  <c r="AG12" i="1"/>
  <c r="AF12" i="1" a="1"/>
  <c r="AF12" i="1" s="1"/>
  <c r="AE12" i="1" a="1"/>
  <c r="AE12" i="1" s="1"/>
  <c r="AD12" i="1" a="1"/>
  <c r="AD12" i="1" s="1"/>
  <c r="AC12" i="1" a="1"/>
  <c r="AC12" i="1" s="1"/>
  <c r="AB12" i="1" a="1"/>
  <c r="AB12" i="1" s="1"/>
  <c r="AA12" i="1" a="1"/>
  <c r="AA12" i="1" s="1"/>
  <c r="Y12" i="1"/>
  <c r="X12" i="1"/>
  <c r="W12" i="1"/>
  <c r="V12" i="1"/>
  <c r="U12" i="1" a="1"/>
  <c r="U12" i="1" s="1"/>
  <c r="T12" i="1" a="1"/>
  <c r="T12" i="1" s="1"/>
  <c r="S12" i="1" a="1"/>
  <c r="S12" i="1" s="1"/>
  <c r="R12" i="1"/>
  <c r="Q12" i="1"/>
  <c r="P12" i="1"/>
  <c r="BJ11" i="1"/>
  <c r="BI11" i="1"/>
  <c r="BH11" i="1"/>
  <c r="BG11" i="1"/>
  <c r="AP11" i="1"/>
  <c r="AN11" i="1" a="1"/>
  <c r="AN11" i="1"/>
  <c r="AM11" i="1" a="1"/>
  <c r="AM11" i="1"/>
  <c r="AK11" i="1" a="1"/>
  <c r="AK11" i="1"/>
  <c r="AJ11" i="1"/>
  <c r="AI11" i="1" a="1"/>
  <c r="AI11" i="1" s="1"/>
  <c r="AG11" i="1"/>
  <c r="AF11" i="1" a="1"/>
  <c r="AF11" i="1"/>
  <c r="AE11" i="1" a="1"/>
  <c r="AE11" i="1"/>
  <c r="AD11" i="1" a="1"/>
  <c r="AD11" i="1"/>
  <c r="AC11" i="1" a="1"/>
  <c r="AC11" i="1"/>
  <c r="AB11" i="1" a="1"/>
  <c r="AB11" i="1"/>
  <c r="AA11" i="1" a="1"/>
  <c r="AA11" i="1"/>
  <c r="Y11" i="1"/>
  <c r="X11" i="1"/>
  <c r="W11" i="1"/>
  <c r="V11" i="1"/>
  <c r="U11" i="1" a="1"/>
  <c r="U11" i="1"/>
  <c r="T11" i="1" a="1"/>
  <c r="T11" i="1"/>
  <c r="S11" i="1" a="1"/>
  <c r="S11" i="1"/>
  <c r="R11" i="1"/>
  <c r="Q11" i="1"/>
  <c r="P11" i="1"/>
  <c r="BJ10" i="1"/>
  <c r="BI10" i="1"/>
  <c r="BH10" i="1"/>
  <c r="AP10" i="1"/>
  <c r="AN10" i="1" a="1"/>
  <c r="AN10" i="1"/>
  <c r="AM10" i="1" a="1"/>
  <c r="AM10" i="1"/>
  <c r="AK10" i="1" a="1"/>
  <c r="AK10" i="1"/>
  <c r="AJ10" i="1"/>
  <c r="AI10" i="1" a="1"/>
  <c r="AI10" i="1" s="1"/>
  <c r="AG10" i="1"/>
  <c r="AF10" i="1" a="1"/>
  <c r="AF10" i="1"/>
  <c r="AE10" i="1" a="1"/>
  <c r="AE10" i="1"/>
  <c r="AD10" i="1" a="1"/>
  <c r="AD10" i="1" s="1"/>
  <c r="AC10" i="1" a="1"/>
  <c r="AC10" i="1"/>
  <c r="AB10" i="1" a="1"/>
  <c r="AB10" i="1" s="1"/>
  <c r="AA10" i="1" a="1"/>
  <c r="AA10" i="1"/>
  <c r="Y10" i="1"/>
  <c r="X10" i="1"/>
  <c r="W10" i="1"/>
  <c r="V10" i="1"/>
  <c r="U10" i="1" a="1"/>
  <c r="U10" i="1"/>
  <c r="T10" i="1" a="1"/>
  <c r="T10" i="1" s="1"/>
  <c r="S10" i="1" a="1"/>
  <c r="S10" i="1"/>
  <c r="R10" i="1"/>
  <c r="Q10" i="1"/>
  <c r="P10" i="1"/>
  <c r="BJ9" i="1"/>
  <c r="BI9" i="1"/>
  <c r="BH9" i="1"/>
  <c r="BG9" i="1"/>
  <c r="AP9" i="1"/>
  <c r="AN9" i="1" a="1"/>
  <c r="AN9" i="1" s="1"/>
  <c r="AM9" i="1" a="1"/>
  <c r="AM9" i="1"/>
  <c r="AK9" i="1" a="1"/>
  <c r="AK9" i="1"/>
  <c r="AJ9" i="1"/>
  <c r="AI9" i="1" a="1"/>
  <c r="AI9" i="1"/>
  <c r="AG9" i="1"/>
  <c r="AF9" i="1" a="1"/>
  <c r="AF9" i="1" s="1"/>
  <c r="AE9" i="1" a="1"/>
  <c r="AE9" i="1"/>
  <c r="AD9" i="1" a="1"/>
  <c r="AD9" i="1" s="1"/>
  <c r="AC9" i="1" a="1"/>
  <c r="AC9" i="1"/>
  <c r="AB9" i="1" a="1"/>
  <c r="AB9" i="1" s="1"/>
  <c r="AA9" i="1" a="1"/>
  <c r="AA9" i="1" s="1"/>
  <c r="Y9" i="1"/>
  <c r="X9" i="1"/>
  <c r="W9" i="1"/>
  <c r="V9" i="1"/>
  <c r="U9" i="1" a="1"/>
  <c r="U9" i="1" s="1"/>
  <c r="T9" i="1" a="1"/>
  <c r="T9" i="1" s="1"/>
  <c r="S9" i="1" a="1"/>
  <c r="S9" i="1" s="1"/>
  <c r="R9" i="1"/>
  <c r="Q9" i="1"/>
  <c r="P9" i="1"/>
  <c r="AP8" i="1"/>
  <c r="AN8" i="1" a="1"/>
  <c r="AN8" i="1"/>
  <c r="AM8" i="1" a="1"/>
  <c r="AM8" i="1"/>
  <c r="AK8" i="1" a="1"/>
  <c r="AK8" i="1"/>
  <c r="AJ8" i="1"/>
  <c r="AI8" i="1" a="1"/>
  <c r="AI8" i="1" s="1"/>
  <c r="AG8" i="1"/>
  <c r="AF8" i="1" a="1"/>
  <c r="AF8" i="1"/>
  <c r="AE8" i="1" a="1"/>
  <c r="AE8" i="1" s="1"/>
  <c r="AD8" i="1" a="1"/>
  <c r="AD8" i="1"/>
  <c r="AC8" i="1" a="1"/>
  <c r="AC8" i="1" s="1"/>
  <c r="AB8" i="1" a="1"/>
  <c r="AB8" i="1"/>
  <c r="AA8" i="1" a="1"/>
  <c r="AA8" i="1" s="1"/>
  <c r="Y8" i="1"/>
  <c r="X8" i="1"/>
  <c r="W8" i="1"/>
  <c r="V8" i="1"/>
  <c r="U8" i="1" a="1"/>
  <c r="U8" i="1" s="1"/>
  <c r="T8" i="1" a="1"/>
  <c r="T8" i="1"/>
  <c r="S8" i="1" a="1"/>
  <c r="S8" i="1" s="1"/>
  <c r="R8" i="1"/>
  <c r="Q8" i="1"/>
  <c r="P8" i="1"/>
  <c r="AP7" i="1"/>
  <c r="AN7" i="1" a="1"/>
  <c r="AN7" i="1"/>
  <c r="AM7" i="1" a="1"/>
  <c r="AM7" i="1" s="1"/>
  <c r="AK7" i="1" a="1"/>
  <c r="AK7" i="1" s="1"/>
  <c r="AJ7" i="1"/>
  <c r="AI7" i="1" a="1"/>
  <c r="AI7" i="1" s="1"/>
  <c r="AG7" i="1"/>
  <c r="AF7" i="1" a="1"/>
  <c r="AF7" i="1"/>
  <c r="AE7" i="1" a="1"/>
  <c r="AE7" i="1" s="1"/>
  <c r="AD7" i="1" a="1"/>
  <c r="AD7" i="1"/>
  <c r="AC7" i="1" a="1"/>
  <c r="AC7" i="1" s="1"/>
  <c r="AB7" i="1" a="1"/>
  <c r="AB7" i="1" s="1"/>
  <c r="AA7" i="1" a="1"/>
  <c r="AA7" i="1" s="1"/>
  <c r="Z7" i="1" a="1"/>
  <c r="Z7" i="1" s="1"/>
  <c r="Y7" i="1"/>
  <c r="X7" i="1"/>
  <c r="W7" i="1"/>
  <c r="V7" i="1"/>
  <c r="U7" i="1" a="1"/>
  <c r="U7" i="1" s="1"/>
  <c r="T7" i="1" a="1"/>
  <c r="T7" i="1" s="1"/>
  <c r="S7" i="1" a="1"/>
  <c r="S7" i="1" s="1"/>
  <c r="R7" i="1"/>
  <c r="Q7" i="1"/>
  <c r="P7" i="1"/>
  <c r="BL6" i="1"/>
  <c r="AP6" i="1"/>
  <c r="AN6" i="1" a="1"/>
  <c r="AN6" i="1" s="1"/>
  <c r="AM6" i="1" a="1"/>
  <c r="AM6" i="1" s="1"/>
  <c r="AK6" i="1" a="1"/>
  <c r="AK6" i="1" s="1"/>
  <c r="AJ6" i="1"/>
  <c r="AI6" i="1" a="1"/>
  <c r="AI6" i="1"/>
  <c r="AG6" i="1"/>
  <c r="AF6" i="1" a="1"/>
  <c r="AF6" i="1" s="1"/>
  <c r="AE6" i="1" a="1"/>
  <c r="AE6" i="1" s="1"/>
  <c r="AD6" i="1" a="1"/>
  <c r="AD6" i="1" s="1"/>
  <c r="AC6" i="1" a="1"/>
  <c r="AC6" i="1" s="1"/>
  <c r="AB6" i="1" a="1"/>
  <c r="AB6" i="1" s="1"/>
  <c r="AA6" i="1" a="1"/>
  <c r="AA6" i="1" s="1"/>
  <c r="Z6" i="1" a="1"/>
  <c r="Z6" i="1" s="1"/>
  <c r="Y6" i="1"/>
  <c r="X6" i="1"/>
  <c r="W6" i="1"/>
  <c r="V6" i="1"/>
  <c r="U6" i="1" a="1"/>
  <c r="U6" i="1" s="1"/>
  <c r="T6" i="1" a="1"/>
  <c r="T6" i="1" s="1"/>
  <c r="S6" i="1" a="1"/>
  <c r="S6" i="1" s="1"/>
  <c r="R6" i="1"/>
  <c r="Q6" i="1"/>
  <c r="P6" i="1"/>
  <c r="CB5" i="1"/>
  <c r="BX5" i="1"/>
  <c r="BT5" i="1"/>
  <c r="BP5" i="1"/>
  <c r="BL5" i="1"/>
  <c r="BG5" i="1"/>
  <c r="BH5" i="1" s="1"/>
  <c r="BC5" i="1"/>
  <c r="AP5" i="1"/>
  <c r="AN5" i="1" a="1"/>
  <c r="AN5" i="1"/>
  <c r="AM5" i="1" a="1"/>
  <c r="AM5" i="1"/>
  <c r="AK5" i="1" a="1"/>
  <c r="AK5" i="1"/>
  <c r="AJ5" i="1"/>
  <c r="AI5" i="1" a="1"/>
  <c r="AI5" i="1" s="1"/>
  <c r="AG5" i="1"/>
  <c r="AF5" i="1" a="1"/>
  <c r="AF5" i="1"/>
  <c r="AE5" i="1" a="1"/>
  <c r="AE5" i="1"/>
  <c r="AD5" i="1" a="1"/>
  <c r="AD5" i="1"/>
  <c r="AC5" i="1" a="1"/>
  <c r="AC5" i="1"/>
  <c r="AB5" i="1" a="1"/>
  <c r="AB5" i="1"/>
  <c r="AA5" i="1" a="1"/>
  <c r="AA5" i="1"/>
  <c r="Y5" i="1"/>
  <c r="X5" i="1"/>
  <c r="W5" i="1"/>
  <c r="V5" i="1"/>
  <c r="U5" i="1" a="1"/>
  <c r="U5" i="1" s="1"/>
  <c r="T5" i="1" a="1"/>
  <c r="T5" i="1"/>
  <c r="S5" i="1" a="1"/>
  <c r="S5" i="1" s="1"/>
  <c r="R5" i="1"/>
  <c r="Q5" i="1"/>
  <c r="P5" i="1"/>
  <c r="CB4" i="1"/>
  <c r="BX4" i="1"/>
  <c r="BT4" i="1"/>
  <c r="BP4" i="1"/>
  <c r="BL4" i="1"/>
  <c r="BG4" i="1"/>
  <c r="BH4" i="1" s="1"/>
  <c r="BC4" i="1"/>
  <c r="AP4" i="1"/>
  <c r="AN4" i="1" a="1"/>
  <c r="AN4" i="1" s="1"/>
  <c r="AM4" i="1" a="1"/>
  <c r="AM4" i="1" s="1"/>
  <c r="AK4" i="1" a="1"/>
  <c r="AK4" i="1" s="1"/>
  <c r="AJ4" i="1"/>
  <c r="AI4" i="1" a="1"/>
  <c r="AI4" i="1" s="1"/>
  <c r="AG4" i="1"/>
  <c r="AF4" i="1" a="1"/>
  <c r="AF4" i="1" s="1"/>
  <c r="AE4" i="1" a="1"/>
  <c r="AE4" i="1" s="1"/>
  <c r="AD4" i="1" a="1"/>
  <c r="AD4" i="1" s="1"/>
  <c r="AC4" i="1" a="1"/>
  <c r="AC4" i="1" s="1"/>
  <c r="AB4" i="1" a="1"/>
  <c r="AB4" i="1" s="1"/>
  <c r="AA4" i="1" a="1"/>
  <c r="AA4" i="1" s="1"/>
  <c r="Y4" i="1"/>
  <c r="X4" i="1"/>
  <c r="W4" i="1"/>
  <c r="V4" i="1"/>
  <c r="U4" i="1" a="1"/>
  <c r="U4" i="1" s="1"/>
  <c r="T4" i="1" a="1"/>
  <c r="T4" i="1" s="1"/>
  <c r="S4" i="1" a="1"/>
  <c r="S4" i="1" s="1"/>
  <c r="R4" i="1"/>
  <c r="Q4" i="1"/>
  <c r="P4" i="1"/>
  <c r="CB3" i="1"/>
  <c r="BX3" i="1"/>
  <c r="BT3" i="1"/>
  <c r="BP3" i="1"/>
  <c r="BL3" i="1"/>
  <c r="BG3" i="1"/>
  <c r="BH3" i="1" s="1"/>
  <c r="BC3" i="1"/>
  <c r="AP3" i="1"/>
  <c r="AN3" i="1" a="1"/>
  <c r="AN3" i="1"/>
  <c r="AM3" i="1" a="1"/>
  <c r="AM3" i="1"/>
  <c r="AK3" i="1" a="1"/>
  <c r="AK3" i="1"/>
  <c r="AJ3" i="1"/>
  <c r="AI3" i="1" a="1"/>
  <c r="AI3" i="1" s="1"/>
  <c r="AG3" i="1"/>
  <c r="AF3" i="1" a="1"/>
  <c r="AF3" i="1"/>
  <c r="AE3" i="1" a="1"/>
  <c r="AE3" i="1"/>
  <c r="AD3" i="1" a="1"/>
  <c r="AD3" i="1"/>
  <c r="AC3" i="1" a="1"/>
  <c r="AC3" i="1"/>
  <c r="AB3" i="1" a="1"/>
  <c r="AB3" i="1"/>
  <c r="AA3" i="1" a="1"/>
  <c r="AA3" i="1"/>
  <c r="Z3" i="1" a="1"/>
  <c r="Z3" i="1" s="1"/>
  <c r="Y3" i="1"/>
  <c r="X3" i="1"/>
  <c r="W3" i="1"/>
  <c r="V3" i="1"/>
  <c r="U3" i="1" a="1"/>
  <c r="U3" i="1"/>
  <c r="T3" i="1" a="1"/>
  <c r="T3" i="1"/>
  <c r="S3" i="1" a="1"/>
  <c r="S3" i="1"/>
  <c r="R3" i="1"/>
  <c r="Q3" i="1"/>
  <c r="P3" i="1"/>
  <c r="AP2" i="1"/>
  <c r="AN2" i="1" a="1"/>
  <c r="AN2" i="1" s="1"/>
  <c r="AM2" i="1" a="1"/>
  <c r="AM2" i="1"/>
  <c r="AK2" i="1" a="1"/>
  <c r="AK2" i="1"/>
  <c r="AJ2" i="1"/>
  <c r="AI2" i="1" a="1"/>
  <c r="AI2" i="1"/>
  <c r="AG2" i="1"/>
  <c r="AF2" i="1" a="1"/>
  <c r="AF2" i="1" s="1"/>
  <c r="AE2" i="1" a="1"/>
  <c r="AE2" i="1" s="1"/>
  <c r="AD2" i="1" a="1"/>
  <c r="AD2" i="1" s="1"/>
  <c r="AC2" i="1" a="1"/>
  <c r="AC2" i="1" s="1"/>
  <c r="AB2" i="1" a="1"/>
  <c r="AB2" i="1" s="1"/>
  <c r="AA2" i="1" a="1"/>
  <c r="AA2" i="1" s="1"/>
  <c r="Z2" i="1" a="1"/>
  <c r="Z2" i="1" s="1"/>
  <c r="Y2" i="1"/>
  <c r="X2" i="1"/>
  <c r="W2" i="1"/>
  <c r="V2" i="1"/>
  <c r="U2" i="1" a="1"/>
  <c r="U2" i="1" s="1"/>
  <c r="T2" i="1" a="1"/>
  <c r="T2" i="1" s="1"/>
  <c r="S2" i="1" a="1"/>
  <c r="S2" i="1" s="1"/>
  <c r="R2" i="1"/>
  <c r="Q2" i="1"/>
  <c r="P2" i="1"/>
  <c r="BP51" i="1" l="1"/>
  <c r="BL51" i="1"/>
  <c r="BR51" i="1"/>
  <c r="BN51" i="1"/>
  <c r="BJ51" i="1"/>
  <c r="BQ51" i="1"/>
  <c r="BR56" i="1"/>
  <c r="BN56" i="1"/>
  <c r="BJ56" i="1"/>
  <c r="BM56" i="1"/>
  <c r="BQ56" i="1"/>
  <c r="BL56" i="1"/>
  <c r="BP56" i="1"/>
  <c r="BK56" i="1"/>
  <c r="BK51" i="1"/>
  <c r="BP53" i="1"/>
  <c r="BL53" i="1"/>
  <c r="BO53" i="1"/>
  <c r="BK53" i="1"/>
  <c r="BR53" i="1"/>
  <c r="BN53" i="1"/>
  <c r="BJ53" i="1"/>
  <c r="BO56" i="1"/>
  <c r="BM51" i="1"/>
  <c r="BO51" i="1"/>
  <c r="BQ53" i="1"/>
  <c r="BL52" i="1"/>
  <c r="BP52" i="1"/>
  <c r="BL54" i="1"/>
  <c r="BP54" i="1"/>
  <c r="BR57" i="1"/>
  <c r="BN57" i="1"/>
  <c r="BJ57" i="1"/>
  <c r="BO57" i="1"/>
  <c r="BM52" i="1"/>
  <c r="BQ52" i="1"/>
  <c r="BM54" i="1"/>
  <c r="BQ54" i="1"/>
  <c r="BR58" i="1"/>
  <c r="BN58" i="1"/>
  <c r="BJ58" i="1"/>
  <c r="BO58" i="1"/>
  <c r="BJ52" i="1"/>
  <c r="BN52" i="1"/>
  <c r="BJ54" i="1"/>
  <c r="BN54" i="1"/>
  <c r="BR55" i="1"/>
  <c r="BN55" i="1"/>
  <c r="BJ55" i="1"/>
  <c r="BO55" i="1"/>
  <c r="BK58" i="1"/>
  <c r="BP58" i="1"/>
  <c r="AQ61" i="1"/>
  <c r="Z51" i="1" a="1"/>
  <c r="AL14" i="1" a="1"/>
  <c r="AL44" i="1" a="1"/>
  <c r="AQ3" i="1"/>
  <c r="Z17" i="1" a="1"/>
  <c r="AQ19" i="1"/>
  <c r="AQ57" i="1"/>
  <c r="AL34" i="1" a="1"/>
  <c r="Z55" i="1" a="1"/>
  <c r="AU45" i="1"/>
  <c r="AQ17" i="1"/>
  <c r="AQ33" i="1"/>
  <c r="AL25" i="1" a="1"/>
  <c r="AU38" i="1"/>
  <c r="AQ2" i="1"/>
  <c r="AL26" i="1" a="1"/>
  <c r="AU25" i="1"/>
  <c r="Z58" i="1" a="1"/>
  <c r="AQ53" i="1"/>
  <c r="AU9" i="1"/>
  <c r="AQ56" i="1"/>
  <c r="Z42" i="1" a="1"/>
  <c r="AU41" i="1"/>
  <c r="Z46" i="1" a="1"/>
  <c r="AU49" i="1"/>
  <c r="AL49" i="1" a="1"/>
  <c r="AL47" i="1" a="1"/>
  <c r="AQ37" i="1"/>
  <c r="AU3" i="1"/>
  <c r="Z37" i="1" a="1"/>
  <c r="Z12" i="1" a="1"/>
  <c r="AU33" i="1"/>
  <c r="AU72" i="1"/>
  <c r="AQ28" i="1"/>
  <c r="AU29" i="1"/>
  <c r="Z30" i="1" a="1"/>
  <c r="AU7" i="1"/>
  <c r="AL4" i="1" a="1"/>
  <c r="AQ23" i="1"/>
  <c r="AQ46" i="1"/>
  <c r="AU65" i="1"/>
  <c r="Z60" i="1" a="1"/>
  <c r="AQ58" i="1"/>
  <c r="AU24" i="1"/>
  <c r="Z47" i="1" a="1"/>
  <c r="AL31" i="1" a="1"/>
  <c r="AQ60" i="1"/>
  <c r="AQ39" i="1"/>
  <c r="AL32" i="1" a="1"/>
  <c r="AQ25" i="1"/>
  <c r="AU73" i="1"/>
  <c r="AQ62" i="1"/>
  <c r="Z29" i="1" a="1"/>
  <c r="AU32" i="1"/>
  <c r="AU57" i="1"/>
  <c r="AU15" i="1"/>
  <c r="AU31" i="1"/>
  <c r="AL12" i="1" a="1"/>
  <c r="AU53" i="1"/>
  <c r="Z61" i="1" a="1"/>
  <c r="Z49" i="1" a="1"/>
  <c r="AL53" i="1" a="1"/>
  <c r="AQ65" i="1"/>
  <c r="AL13" i="1" a="1"/>
  <c r="Z16" i="1" a="1"/>
  <c r="AQ18" i="1"/>
  <c r="AQ70" i="1"/>
  <c r="Z19" i="1" a="1"/>
  <c r="AU56" i="1"/>
  <c r="AU62" i="1"/>
  <c r="AU13" i="1"/>
  <c r="AQ10" i="1"/>
  <c r="AU67" i="1"/>
  <c r="AQ15" i="1"/>
  <c r="AU4" i="1"/>
  <c r="AL52" i="1" a="1"/>
  <c r="AL17" i="1" a="1"/>
  <c r="AQ35" i="1"/>
  <c r="AL29" i="1" a="1"/>
  <c r="AL41" i="1" a="1"/>
  <c r="Z34" i="1" a="1"/>
  <c r="AL21" i="1" a="1"/>
  <c r="AQ29" i="1"/>
  <c r="AU71" i="1"/>
  <c r="AQ51" i="1"/>
  <c r="AU51" i="1"/>
  <c r="Z8" i="1" a="1"/>
  <c r="Z26" i="1" a="1"/>
  <c r="AU54" i="1"/>
  <c r="AL45" i="1" a="1"/>
  <c r="AU30" i="1"/>
  <c r="Z18" i="1" a="1"/>
  <c r="AQ26" i="1"/>
  <c r="AQ63" i="1"/>
  <c r="Z15" i="1" a="1"/>
  <c r="Z32" i="1" a="1"/>
  <c r="Z63" i="1" a="1"/>
  <c r="AU20" i="1"/>
  <c r="AQ55" i="1"/>
  <c r="AU43" i="1"/>
  <c r="AU37" i="1"/>
  <c r="AL5" i="1" a="1"/>
  <c r="AU50" i="1"/>
  <c r="AQ59" i="1"/>
  <c r="AU55" i="1"/>
  <c r="AL50" i="1" a="1"/>
  <c r="AU27" i="1"/>
  <c r="AL7" i="1" a="1"/>
  <c r="AL27" i="1" a="1"/>
  <c r="Z59" i="1" a="1"/>
  <c r="AL35" i="1" a="1"/>
  <c r="AL28" i="1" a="1"/>
  <c r="AQ5" i="1"/>
  <c r="Z27" i="1" a="1"/>
  <c r="AQ68" i="1"/>
  <c r="AL15" i="1" a="1"/>
  <c r="AL30" i="1" a="1"/>
  <c r="AQ21" i="1"/>
  <c r="AU36" i="1"/>
  <c r="AU47" i="1"/>
  <c r="AQ50" i="1"/>
  <c r="Z54" i="1" a="1"/>
  <c r="AU58" i="1"/>
  <c r="AU19" i="1"/>
  <c r="AL9" i="1" a="1"/>
  <c r="Z35" i="1" a="1"/>
  <c r="AU60" i="1"/>
  <c r="AL38" i="1" a="1"/>
  <c r="AU12" i="1"/>
  <c r="Z5" i="1" a="1"/>
  <c r="AL40" i="1" a="1"/>
  <c r="AQ12" i="1"/>
  <c r="Z40" i="1" a="1"/>
  <c r="AQ27" i="1"/>
  <c r="AU10" i="1"/>
  <c r="AU2" i="1"/>
  <c r="AQ44" i="1"/>
  <c r="AU6" i="1"/>
  <c r="Z44" i="1" a="1"/>
  <c r="AQ40" i="1"/>
  <c r="AU70" i="1"/>
  <c r="AQ6" i="1"/>
  <c r="AU69" i="1"/>
  <c r="Z50" i="1" a="1"/>
  <c r="AU61" i="1"/>
  <c r="AU8" i="1"/>
  <c r="Z31" i="1" a="1"/>
  <c r="AU63" i="1"/>
  <c r="AQ34" i="1"/>
  <c r="AQ31" i="1"/>
  <c r="Z9" i="1" a="1"/>
  <c r="AQ45" i="1"/>
  <c r="Z25" i="1" a="1"/>
  <c r="AU68" i="1"/>
  <c r="AQ43" i="1"/>
  <c r="AQ22" i="1"/>
  <c r="AU66" i="1"/>
  <c r="AQ36" i="1"/>
  <c r="Z53" i="1" a="1"/>
  <c r="AL24" i="1" a="1"/>
  <c r="AU17" i="1"/>
  <c r="AU21" i="1"/>
  <c r="AU16" i="1"/>
  <c r="AQ64" i="1"/>
  <c r="AU44" i="1"/>
  <c r="Z36" i="1" a="1"/>
  <c r="Z24" i="1" a="1"/>
  <c r="AU23" i="1"/>
  <c r="AU22" i="1"/>
  <c r="Z48" i="1" a="1"/>
  <c r="AQ69" i="1"/>
  <c r="AU11" i="1"/>
  <c r="AQ4" i="1"/>
  <c r="AL54" i="1" a="1"/>
  <c r="AL43" i="1" a="1"/>
  <c r="AL11" i="1" a="1"/>
  <c r="Z57" i="1" a="1"/>
  <c r="AU40" i="1"/>
  <c r="AQ49" i="1"/>
  <c r="Z28" i="1" a="1"/>
  <c r="AL6" i="1" a="1"/>
  <c r="Z33" i="1" a="1"/>
  <c r="Z13" i="1" a="1"/>
  <c r="Z23" i="1" a="1"/>
  <c r="Z56" i="1" a="1"/>
  <c r="AL39" i="1" a="1"/>
  <c r="AL23" i="1" a="1"/>
  <c r="AU28" i="1"/>
  <c r="AL48" i="1" a="1"/>
  <c r="AQ16" i="1"/>
  <c r="AQ20" i="1"/>
  <c r="AL10" i="1" a="1"/>
  <c r="AQ9" i="1"/>
  <c r="AL8" i="1" a="1"/>
  <c r="AL37" i="1" a="1"/>
  <c r="AQ41" i="1"/>
  <c r="AQ71" i="1"/>
  <c r="AL19" i="1" a="1"/>
  <c r="AL51" i="1" a="1"/>
  <c r="AU42" i="1"/>
  <c r="AQ7" i="1"/>
  <c r="AU34" i="1"/>
  <c r="AQ72" i="1"/>
  <c r="AQ11" i="1"/>
  <c r="AU18" i="1"/>
  <c r="AQ38" i="1"/>
  <c r="AU46" i="1"/>
  <c r="AQ13" i="1"/>
  <c r="AQ24" i="1"/>
  <c r="AU52" i="1"/>
  <c r="AL20" i="1" a="1"/>
  <c r="AQ48" i="1"/>
  <c r="Z62" i="1" a="1"/>
  <c r="AL2" i="1" a="1"/>
  <c r="AQ54" i="1"/>
  <c r="AL42" i="1" a="1"/>
  <c r="Z11" i="1" a="1"/>
  <c r="Z38" i="1" a="1"/>
  <c r="AU5" i="1"/>
  <c r="AQ8" i="1"/>
  <c r="AU39" i="1"/>
  <c r="AU64" i="1"/>
  <c r="AQ42" i="1"/>
  <c r="AU14" i="1"/>
  <c r="AU35" i="1"/>
  <c r="AL33" i="1" a="1"/>
  <c r="AQ32" i="1"/>
  <c r="Z52" i="1" a="1"/>
  <c r="AL46" i="1" a="1"/>
  <c r="AL16" i="1" a="1"/>
  <c r="AQ30" i="1"/>
  <c r="Z10" i="1" a="1"/>
  <c r="AL3" i="1" a="1"/>
  <c r="Z4" i="1" a="1"/>
  <c r="Z14" i="1" a="1"/>
  <c r="AU48" i="1"/>
  <c r="Z41" i="1" a="1"/>
  <c r="AQ67" i="1"/>
  <c r="AQ66" i="1"/>
  <c r="Z43" i="1" a="1"/>
  <c r="AQ52" i="1"/>
  <c r="AQ73" i="1"/>
  <c r="AL22" i="1" a="1"/>
  <c r="AL36" i="1" a="1"/>
  <c r="AL18" i="1" a="1"/>
  <c r="Z39" i="1" a="1"/>
  <c r="Z45" i="1" a="1"/>
  <c r="AQ47" i="1"/>
  <c r="AU26" i="1"/>
  <c r="AU59" i="1"/>
  <c r="AL13" i="1" l="1"/>
  <c r="AL53" i="1"/>
  <c r="AL16" i="1"/>
  <c r="Z49" i="1"/>
  <c r="AL46" i="1"/>
  <c r="Z61" i="1"/>
  <c r="Z52" i="1"/>
  <c r="Z50" i="1"/>
  <c r="AL12" i="1"/>
  <c r="AL33" i="1"/>
  <c r="Z24" i="1"/>
  <c r="Z45" i="1"/>
  <c r="Z44" i="1"/>
  <c r="Z29" i="1"/>
  <c r="Z36" i="1"/>
  <c r="AL21" i="1"/>
  <c r="Z38" i="1"/>
  <c r="AL32" i="1"/>
  <c r="Z39" i="1"/>
  <c r="Z11" i="1"/>
  <c r="Z34" i="1"/>
  <c r="AL42" i="1"/>
  <c r="Z40" i="1"/>
  <c r="AL31" i="1"/>
  <c r="AL2" i="1"/>
  <c r="AL40" i="1"/>
  <c r="Z47" i="1"/>
  <c r="AL18" i="1"/>
  <c r="Z62" i="1"/>
  <c r="Z5" i="1"/>
  <c r="AL41" i="1"/>
  <c r="AL20" i="1"/>
  <c r="AL38" i="1"/>
  <c r="Z60" i="1"/>
  <c r="AL36" i="1"/>
  <c r="AL29" i="1"/>
  <c r="Z35" i="1"/>
  <c r="AL24" i="1"/>
  <c r="AL9" i="1"/>
  <c r="AL4" i="1"/>
  <c r="AL22" i="1"/>
  <c r="Z53" i="1"/>
  <c r="Z54" i="1"/>
  <c r="Z30" i="1"/>
  <c r="AL17" i="1"/>
  <c r="AL30" i="1"/>
  <c r="Z12" i="1"/>
  <c r="AL51" i="1"/>
  <c r="AL15" i="1"/>
  <c r="Z37" i="1"/>
  <c r="AL52" i="1"/>
  <c r="AL19" i="1"/>
  <c r="Z43" i="1"/>
  <c r="Z27" i="1"/>
  <c r="AL47" i="1"/>
  <c r="AL37" i="1"/>
  <c r="AL28" i="1"/>
  <c r="AL49" i="1"/>
  <c r="AL8" i="1"/>
  <c r="AL35" i="1"/>
  <c r="Z59" i="1"/>
  <c r="Z46" i="1"/>
  <c r="AL10" i="1"/>
  <c r="AL27" i="1"/>
  <c r="AL7" i="1"/>
  <c r="Z42" i="1"/>
  <c r="Z25" i="1"/>
  <c r="AL48" i="1"/>
  <c r="AL50" i="1"/>
  <c r="Z41" i="1"/>
  <c r="AL23" i="1"/>
  <c r="Z58" i="1"/>
  <c r="AL39" i="1"/>
  <c r="Z56" i="1"/>
  <c r="AL5" i="1"/>
  <c r="AL26" i="1"/>
  <c r="Z23" i="1"/>
  <c r="Z13" i="1"/>
  <c r="Z14" i="1"/>
  <c r="Z33" i="1"/>
  <c r="AL25" i="1"/>
  <c r="Z9" i="1"/>
  <c r="AL6" i="1"/>
  <c r="Z28" i="1"/>
  <c r="Z63" i="1"/>
  <c r="Z32" i="1"/>
  <c r="Z4" i="1"/>
  <c r="Z15" i="1"/>
  <c r="Z55" i="1"/>
  <c r="Z57" i="1"/>
  <c r="AL34" i="1"/>
  <c r="Z19" i="1"/>
  <c r="AL11" i="1"/>
  <c r="AL43" i="1"/>
  <c r="Z18" i="1"/>
  <c r="AL54" i="1"/>
  <c r="Z17" i="1"/>
  <c r="AL3" i="1"/>
  <c r="AL45" i="1"/>
  <c r="AL44" i="1"/>
  <c r="Z16" i="1"/>
  <c r="Z26" i="1"/>
  <c r="AL14" i="1"/>
  <c r="Z31" i="1"/>
  <c r="Z48" i="1"/>
  <c r="Z8" i="1"/>
  <c r="Z51" i="1"/>
  <c r="Z10" i="1"/>
  <c r="AT26" i="1"/>
  <c r="AT5" i="1"/>
  <c r="AT36" i="1"/>
  <c r="AT41" i="1"/>
  <c r="AT62" i="1"/>
  <c r="AT31" i="1"/>
  <c r="AT33" i="1"/>
  <c r="AT8" i="1"/>
  <c r="AT52" i="1"/>
  <c r="AT30" i="1"/>
  <c r="AT2" i="1"/>
  <c r="AT47" i="1"/>
  <c r="AT13" i="1"/>
  <c r="AT73" i="1"/>
  <c r="AT56" i="1"/>
  <c r="AT70" i="1"/>
  <c r="AT7" i="1"/>
  <c r="AT38" i="1"/>
  <c r="AT57" i="1"/>
  <c r="AT3" i="1"/>
  <c r="AT9" i="1"/>
  <c r="AT16" i="1"/>
  <c r="AT39" i="1"/>
  <c r="AT66" i="1"/>
  <c r="AT65" i="1"/>
  <c r="AT20" i="1"/>
  <c r="AT44" i="1"/>
  <c r="AT11" i="1"/>
  <c r="AT15" i="1"/>
  <c r="AT21" i="1"/>
  <c r="AT42" i="1"/>
  <c r="AT27" i="1"/>
  <c r="AT40" i="1"/>
  <c r="AT14" i="1"/>
  <c r="AT55" i="1"/>
  <c r="AT35" i="1"/>
  <c r="AT19" i="1"/>
  <c r="AT59" i="1"/>
  <c r="AT12" i="1"/>
  <c r="AT72" i="1"/>
  <c r="AT48" i="1"/>
  <c r="AT17" i="1"/>
  <c r="AT22" i="1"/>
  <c r="AT64" i="1"/>
  <c r="AT34" i="1"/>
  <c r="AT63" i="1"/>
  <c r="AT60" i="1"/>
  <c r="AT54" i="1"/>
  <c r="AT43" i="1"/>
  <c r="AT69" i="1"/>
  <c r="AT68" i="1"/>
  <c r="AT58" i="1"/>
  <c r="AT53" i="1"/>
  <c r="AT67" i="1"/>
  <c r="AT6" i="1"/>
  <c r="AT61" i="1"/>
  <c r="AT37" i="1"/>
  <c r="AT23" i="1"/>
  <c r="AT50" i="1"/>
  <c r="AT25" i="1"/>
  <c r="AT28" i="1"/>
  <c r="AT29" i="1"/>
  <c r="AT46" i="1"/>
  <c r="AT32" i="1"/>
  <c r="AT49" i="1"/>
  <c r="AT51" i="1"/>
  <c r="AT24" i="1"/>
  <c r="AT4" i="1"/>
  <c r="AT45" i="1"/>
  <c r="AT18" i="1"/>
  <c r="AT71" i="1"/>
  <c r="AT10" i="1"/>
  <c r="AS10" i="1"/>
  <c r="AS4" i="1"/>
  <c r="AS32" i="1"/>
  <c r="AS25" i="1"/>
  <c r="AS61" i="1"/>
  <c r="AS58" i="1"/>
  <c r="AS54" i="1"/>
  <c r="AS64" i="1"/>
  <c r="AS72" i="1"/>
  <c r="AS35" i="1"/>
  <c r="AS27" i="1"/>
  <c r="AS11" i="1"/>
  <c r="AS66" i="1"/>
  <c r="AS3" i="1"/>
  <c r="AS70" i="1"/>
  <c r="AS47" i="1"/>
  <c r="AS8" i="1"/>
  <c r="AS41" i="1"/>
  <c r="AS18" i="1"/>
  <c r="AS23" i="1"/>
  <c r="AS69" i="1"/>
  <c r="AS17" i="1"/>
  <c r="AS21" i="1"/>
  <c r="AS16" i="1"/>
  <c r="AS73" i="1"/>
  <c r="AS5" i="1"/>
  <c r="AS49" i="1"/>
  <c r="AS37" i="1"/>
  <c r="AS43" i="1"/>
  <c r="AS48" i="1"/>
  <c r="AS15" i="1"/>
  <c r="AS9" i="1"/>
  <c r="AS13" i="1"/>
  <c r="AS62" i="1"/>
  <c r="AS71" i="1"/>
  <c r="AS24" i="1"/>
  <c r="AS46" i="1"/>
  <c r="AS50" i="1"/>
  <c r="AS6" i="1"/>
  <c r="AS68" i="1"/>
  <c r="AS60" i="1"/>
  <c r="AS22" i="1"/>
  <c r="AS12" i="1"/>
  <c r="AS55" i="1"/>
  <c r="AS42" i="1"/>
  <c r="AS44" i="1"/>
  <c r="AS39" i="1"/>
  <c r="AS57" i="1"/>
  <c r="AS56" i="1"/>
  <c r="AS2" i="1"/>
  <c r="AS33" i="1"/>
  <c r="AS36" i="1"/>
  <c r="AS51" i="1"/>
  <c r="AS29" i="1"/>
  <c r="AS67" i="1"/>
  <c r="AS63" i="1"/>
  <c r="AS59" i="1"/>
  <c r="AS14" i="1"/>
  <c r="AS20" i="1"/>
  <c r="AS38" i="1"/>
  <c r="AS30" i="1"/>
  <c r="AS31" i="1"/>
  <c r="AS45" i="1"/>
  <c r="AS28" i="1"/>
  <c r="AS53" i="1"/>
  <c r="AS34" i="1"/>
  <c r="AS19" i="1"/>
  <c r="AS40" i="1"/>
  <c r="AS65" i="1"/>
  <c r="AS7" i="1"/>
  <c r="AS52" i="1"/>
  <c r="AS26" i="1"/>
  <c r="AR26" i="1"/>
  <c r="AH26" i="1" s="1" a="1"/>
  <c r="AR40" i="1"/>
  <c r="AH40" i="1" s="1" a="1"/>
  <c r="AR28" i="1"/>
  <c r="AH28" i="1" s="1" a="1"/>
  <c r="AR38" i="1"/>
  <c r="AH38" i="1" s="1" a="1"/>
  <c r="AR63" i="1"/>
  <c r="AH63" i="1" s="1" a="1"/>
  <c r="AR36" i="1"/>
  <c r="AH36" i="1" s="1" a="1"/>
  <c r="AR57" i="1"/>
  <c r="AH57" i="1" s="1" a="1"/>
  <c r="AR55" i="1"/>
  <c r="AH55" i="1" s="1" a="1"/>
  <c r="AR68" i="1"/>
  <c r="AH68" i="1" s="1" a="1"/>
  <c r="AR24" i="1"/>
  <c r="AH24" i="1" s="1" a="1"/>
  <c r="AR9" i="1"/>
  <c r="AR37" i="1"/>
  <c r="AH37" i="1" s="1" a="1"/>
  <c r="AR16" i="1"/>
  <c r="AR23" i="1"/>
  <c r="AH23" i="1" s="1" a="1"/>
  <c r="AR47" i="1"/>
  <c r="AH47" i="1" s="1" a="1"/>
  <c r="AR11" i="1"/>
  <c r="AR64" i="1"/>
  <c r="AH64" i="1" s="1" a="1"/>
  <c r="AR25" i="1"/>
  <c r="AH25" i="1" s="1" a="1"/>
  <c r="AR31" i="1"/>
  <c r="AH31" i="1" s="1" a="1"/>
  <c r="AR2" i="1"/>
  <c r="AR50" i="1"/>
  <c r="AH50" i="1" s="1" a="1"/>
  <c r="AR5" i="1"/>
  <c r="AR3" i="1"/>
  <c r="AR4" i="1"/>
  <c r="AR53" i="1"/>
  <c r="AH53" i="1" s="1" a="1"/>
  <c r="AR56" i="1"/>
  <c r="AH56" i="1" s="1" a="1"/>
  <c r="AR46" i="1"/>
  <c r="AH46" i="1" s="1" a="1"/>
  <c r="AR43" i="1"/>
  <c r="AH43" i="1" s="1" a="1"/>
  <c r="AR8" i="1"/>
  <c r="AR61" i="1"/>
  <c r="AH61" i="1" s="1" a="1"/>
  <c r="AR52" i="1"/>
  <c r="AH52" i="1" s="1" a="1"/>
  <c r="AR19" i="1"/>
  <c r="AH19" i="1" s="1" a="1"/>
  <c r="AR45" i="1"/>
  <c r="AH45" i="1" s="1" a="1"/>
  <c r="AR20" i="1"/>
  <c r="AH20" i="1" s="1" a="1"/>
  <c r="AR67" i="1"/>
  <c r="AH67" i="1" s="1" a="1"/>
  <c r="AR33" i="1"/>
  <c r="AH33" i="1" s="1" a="1"/>
  <c r="AR39" i="1"/>
  <c r="AH39" i="1" s="1" a="1"/>
  <c r="AR12" i="1"/>
  <c r="AR6" i="1"/>
  <c r="AR71" i="1"/>
  <c r="AH71" i="1" s="1" a="1"/>
  <c r="AR15" i="1"/>
  <c r="AR49" i="1"/>
  <c r="AH49" i="1" s="1" a="1"/>
  <c r="AR21" i="1"/>
  <c r="AH21" i="1" s="1" a="1"/>
  <c r="AR18" i="1"/>
  <c r="AH18" i="1" s="1" a="1"/>
  <c r="AR70" i="1"/>
  <c r="AH70" i="1" s="1" a="1"/>
  <c r="AR27" i="1"/>
  <c r="AH27" i="1" s="1" a="1"/>
  <c r="AR54" i="1"/>
  <c r="AH54" i="1" s="1" a="1"/>
  <c r="AR32" i="1"/>
  <c r="AH32" i="1" s="1" a="1"/>
  <c r="AR7" i="1"/>
  <c r="AR34" i="1"/>
  <c r="AH34" i="1" s="1" a="1"/>
  <c r="AR14" i="1"/>
  <c r="AR29" i="1"/>
  <c r="AH29" i="1" s="1" a="1"/>
  <c r="AR44" i="1"/>
  <c r="AH44" i="1" s="1" a="1"/>
  <c r="AR22" i="1"/>
  <c r="AH22" i="1" s="1" a="1"/>
  <c r="AR62" i="1"/>
  <c r="AH62" i="1" s="1" a="1"/>
  <c r="AR48" i="1"/>
  <c r="AH48" i="1" s="1" a="1"/>
  <c r="AR17" i="1"/>
  <c r="AH17" i="1" s="1" a="1"/>
  <c r="AR41" i="1"/>
  <c r="AH41" i="1" s="1" a="1"/>
  <c r="AR35" i="1"/>
  <c r="AH35" i="1" s="1" a="1"/>
  <c r="AR58" i="1"/>
  <c r="AH58" i="1" s="1" a="1"/>
  <c r="AR65" i="1"/>
  <c r="AH65" i="1" s="1" a="1"/>
  <c r="AR30" i="1"/>
  <c r="AH30" i="1" s="1" a="1"/>
  <c r="AR59" i="1"/>
  <c r="AH59" i="1" s="1" a="1"/>
  <c r="AR51" i="1"/>
  <c r="AH51" i="1" s="1" a="1"/>
  <c r="AR42" i="1"/>
  <c r="AH42" i="1" s="1" a="1"/>
  <c r="AR60" i="1"/>
  <c r="AH60" i="1" s="1" a="1"/>
  <c r="AR13" i="1"/>
  <c r="AR73" i="1"/>
  <c r="AH73" i="1" s="1" a="1"/>
  <c r="AR69" i="1"/>
  <c r="AH69" i="1" s="1" a="1"/>
  <c r="AR66" i="1"/>
  <c r="AH66" i="1" s="1" a="1"/>
  <c r="AR72" i="1"/>
  <c r="AH72" i="1" s="1" a="1"/>
  <c r="AR10" i="1"/>
  <c r="AH72" i="1" l="1"/>
  <c r="AH66" i="1"/>
  <c r="AH69" i="1"/>
  <c r="AH73" i="1"/>
  <c r="AH60" i="1"/>
  <c r="AH42" i="1"/>
  <c r="AH51" i="1"/>
  <c r="AH59" i="1"/>
  <c r="AH30" i="1"/>
  <c r="AH65" i="1"/>
  <c r="AH58" i="1"/>
  <c r="AH35" i="1"/>
  <c r="AH41" i="1"/>
  <c r="AH17" i="1"/>
  <c r="AH48" i="1"/>
  <c r="AH62" i="1"/>
  <c r="AH22" i="1"/>
  <c r="AH44" i="1"/>
  <c r="AH29" i="1"/>
  <c r="AH34" i="1"/>
  <c r="AH32" i="1"/>
  <c r="AH54" i="1"/>
  <c r="AH27" i="1"/>
  <c r="AH70" i="1"/>
  <c r="AH18" i="1"/>
  <c r="AH21" i="1"/>
  <c r="AH49" i="1"/>
  <c r="AH71" i="1"/>
  <c r="AH39" i="1"/>
  <c r="AH33" i="1"/>
  <c r="AH67" i="1"/>
  <c r="AH20" i="1"/>
  <c r="AH45" i="1"/>
  <c r="AH19" i="1"/>
  <c r="AH52" i="1"/>
  <c r="AH61" i="1"/>
  <c r="AH43" i="1"/>
  <c r="AH46" i="1"/>
  <c r="AH56" i="1"/>
  <c r="AH53" i="1"/>
  <c r="AH50" i="1"/>
  <c r="AH31" i="1"/>
  <c r="AH25" i="1"/>
  <c r="AH64" i="1"/>
  <c r="AH47" i="1"/>
  <c r="AH23" i="1"/>
  <c r="AH37" i="1"/>
  <c r="AH24" i="1"/>
  <c r="AH68" i="1"/>
  <c r="AH55" i="1"/>
  <c r="AH57" i="1"/>
  <c r="AH36" i="1"/>
  <c r="AH63" i="1"/>
  <c r="AH38" i="1"/>
  <c r="AH28" i="1"/>
  <c r="AH40" i="1"/>
  <c r="AH26" i="1"/>
</calcChain>
</file>

<file path=xl/sharedStrings.xml><?xml version="1.0" encoding="utf-8"?>
<sst xmlns="http://schemas.openxmlformats.org/spreadsheetml/2006/main" count="714" uniqueCount="180">
  <si>
    <t>Artist Name</t>
  </si>
  <si>
    <t>Song Title</t>
  </si>
  <si>
    <t>Country</t>
  </si>
  <si>
    <t>Release Date</t>
  </si>
  <si>
    <t>Release Date (Formatted)</t>
  </si>
  <si>
    <t>UPC</t>
  </si>
  <si>
    <t>ISRC</t>
  </si>
  <si>
    <t>Genre</t>
  </si>
  <si>
    <t>Minute</t>
  </si>
  <si>
    <t>Seconds</t>
  </si>
  <si>
    <t>URL Link</t>
  </si>
  <si>
    <t>Label Name</t>
  </si>
  <si>
    <t>Priority</t>
  </si>
  <si>
    <t>Radio/Extended</t>
  </si>
  <si>
    <t>PRESET</t>
  </si>
  <si>
    <t>Deezer Germany</t>
  </si>
  <si>
    <t>Deezer Label</t>
  </si>
  <si>
    <t>Filtr</t>
  </si>
  <si>
    <t>Spotify</t>
  </si>
  <si>
    <t>Amazon</t>
  </si>
  <si>
    <t>formula1</t>
  </si>
  <si>
    <t>Artist1</t>
  </si>
  <si>
    <t>Artist2</t>
  </si>
  <si>
    <t>Artist3</t>
  </si>
  <si>
    <t>Artist4</t>
  </si>
  <si>
    <t>Artist5</t>
  </si>
  <si>
    <t>END</t>
  </si>
  <si>
    <t>Lo - Fi Music Rudolph, LOFI gambler</t>
  </si>
  <si>
    <t>Half Light</t>
  </si>
  <si>
    <t>Latvia</t>
  </si>
  <si>
    <t>December 23rd, 2022</t>
  </si>
  <si>
    <t>23.12.2022</t>
  </si>
  <si>
    <t>GX8LD2233224</t>
  </si>
  <si>
    <t>Lo-Fi</t>
  </si>
  <si>
    <t>2</t>
  </si>
  <si>
    <t>00</t>
  </si>
  <si>
    <t>https://soundcloud.com/floatingbluerecords/tiktok-guy-lo-fi-music-rudolph-aesthetic-lofi-half-light/s-u9zhfna9HwY?si=27d2d5ebc9a74faaa85e7bbcabf3a33a&amp;utm_source=clipboard&amp;utm_medium=text&amp;utm_campaign=social_sharing</t>
  </si>
  <si>
    <t>Floating Blue Records</t>
  </si>
  <si>
    <t>Radio</t>
  </si>
  <si>
    <t>"Half Light" was Latvia</t>
  </si>
  <si>
    <t xml:space="preserve"> </t>
  </si>
  <si>
    <t>Location</t>
  </si>
  <si>
    <t>Rand</t>
  </si>
  <si>
    <t>Colonna1</t>
  </si>
  <si>
    <t>Aesthetic Lofi, artist2</t>
  </si>
  <si>
    <t>Tokyo, Tokyo, Japan</t>
  </si>
  <si>
    <t>Deep House</t>
  </si>
  <si>
    <t>Paris, Île-de-France Region, France</t>
  </si>
  <si>
    <t>Tech House</t>
  </si>
  <si>
    <t>Ankara, Ankara, Turkey</t>
  </si>
  <si>
    <t>Piano House</t>
  </si>
  <si>
    <t>Oslo, Oslo, Norway</t>
  </si>
  <si>
    <t>Indie/Chill Dance</t>
  </si>
  <si>
    <t>Salvador, Estado de Bahia, Brazil</t>
  </si>
  <si>
    <t>Slap House</t>
  </si>
  <si>
    <t>Goiânia, Goiás, Brazil</t>
  </si>
  <si>
    <t>Brazilian Bass</t>
  </si>
  <si>
    <t>EDM</t>
  </si>
  <si>
    <t>LOFI Gambler, artist2, artist3</t>
  </si>
  <si>
    <t>Milky Way</t>
  </si>
  <si>
    <t>GX8LD2290759</t>
  </si>
  <si>
    <t>26</t>
  </si>
  <si>
    <t>https://soundcloud.com/floatingbluerecords/brandon-study-lofi-gambler-lofi-best-music-milky-way/s-aYOOfeI3oOT?si=97d6cb38d02742a1b60e6565c38d516c&amp;utm_source=clipboard&amp;utm_medium=text&amp;utm_campaign=social_sharing</t>
  </si>
  <si>
    <t>"Milky Way" was Latvia</t>
  </si>
  <si>
    <t>Warsaw, Masovian, Poland</t>
  </si>
  <si>
    <t>Berlin, Berlin, Germany</t>
  </si>
  <si>
    <t>Helsinki, Uusimaa, Finland</t>
  </si>
  <si>
    <t>Bern, Canton of Bern, Switzerland</t>
  </si>
  <si>
    <t>Buenos Aires, Buenos Aires F.D., Argentina</t>
  </si>
  <si>
    <t>Lofi Best Music</t>
  </si>
  <si>
    <t>Stockholm, Stockholm County, Sweden</t>
  </si>
  <si>
    <t>Mexico City, Mexico City, Mexico</t>
  </si>
  <si>
    <t>Ottawa, Ontario, Canada</t>
  </si>
  <si>
    <t>Amsterdam, North Holland, Netherlands</t>
  </si>
  <si>
    <t>Jazzy Kyle</t>
  </si>
  <si>
    <t>Floater</t>
  </si>
  <si>
    <t>GX8LD2259347</t>
  </si>
  <si>
    <t>10</t>
  </si>
  <si>
    <t>https://soundcloud.com/floatingbluerecords/fifty-gram-jazzy-kyle-lofi-study-man-floater/s-zhO1spFWpNg?si=6c532b5494d54a30b2b01c306a0d9f90&amp;utm_source=clipboard&amp;utm_medium=text&amp;utm_campaign=social_sharing</t>
  </si>
  <si>
    <t>Brussels, Brussels Capital, Belgium</t>
  </si>
  <si>
    <t>Lofi Study Man</t>
  </si>
  <si>
    <t>Rain Dance</t>
  </si>
  <si>
    <t>December 30th, 2022</t>
  </si>
  <si>
    <t>30.12.2022</t>
  </si>
  <si>
    <t>GX8LD2262869</t>
  </si>
  <si>
    <t>1</t>
  </si>
  <si>
    <t>51</t>
  </si>
  <si>
    <t>https://soundcloud.com/floatingbluerecords/lofi-chilled-jazzy-kyle-lofi-best-music-rain-dance/s-mGS6Y0164Ba?si=f9bfa9c4a779409fadb2e78250f073de&amp;utm_source=clipboard&amp;utm_medium=text&amp;utm_campaign=social_sharing</t>
  </si>
  <si>
    <t>rand</t>
  </si>
  <si>
    <t>location</t>
  </si>
  <si>
    <t>1* rand</t>
  </si>
  <si>
    <t>min</t>
  </si>
  <si>
    <t>MIN+1</t>
  </si>
  <si>
    <t>MIN+2</t>
  </si>
  <si>
    <t>deep[rand]</t>
  </si>
  <si>
    <t>deep[location]</t>
  </si>
  <si>
    <t>Brandon Study</t>
  </si>
  <si>
    <t>Path</t>
  </si>
  <si>
    <t>GX8LD2260840</t>
  </si>
  <si>
    <t>17</t>
  </si>
  <si>
    <t>https://soundcloud.com/floatingbluerecords/fifty-gram-lofi-hendrick-brandon-study-path/s-dhXjkx12qhY?si=228a5e45ae144f969e5e1e30b5b5ffda&amp;utm_source=clipboard&amp;utm_medium=text&amp;utm_campaign=social_sharing</t>
  </si>
  <si>
    <t>tech[rand]</t>
  </si>
  <si>
    <t>tech[location]</t>
  </si>
  <si>
    <t>tech[@Rand]</t>
  </si>
  <si>
    <t>Floating Blue</t>
  </si>
  <si>
    <t>Upside Down</t>
  </si>
  <si>
    <t>GX8LD2243622</t>
  </si>
  <si>
    <t>03</t>
  </si>
  <si>
    <t>https://soundcloud.com/floatingbluerecords/fast-blurry-floating-blue-lofi-gambler-upsidedown/s-tqSy2rgCnSm?si=dd2ad041e78146f297eed6570723ecfd&amp;utm_source=clipboard&amp;utm_medium=text&amp;utm_campaign=social_sharing</t>
  </si>
  <si>
    <t>piano[rand]</t>
  </si>
  <si>
    <t>piano[location]</t>
  </si>
  <si>
    <t>LOFI Gambler</t>
  </si>
  <si>
    <t>indie[rand]</t>
  </si>
  <si>
    <t>indie[location]</t>
  </si>
  <si>
    <t>Jerry Of Everything, Lo - Fi Music Rudolph, Floating Blue</t>
  </si>
  <si>
    <t>Physics</t>
  </si>
  <si>
    <t>April 1st, 2022</t>
  </si>
  <si>
    <t>01.04.2022</t>
  </si>
  <si>
    <t xml:space="preserve">GX3HH2278617
</t>
  </si>
  <si>
    <t>09</t>
  </si>
  <si>
    <t>https://soundcloud.com/floatingbluerecords/jerry-of-everything-lo-fi-music-rudolph-floating-blue-physics/s-mgJrfBaWPFR?si=775748fa9cea406793f9d80512b2f8c3&amp;utm\_source=clipboard&amp;utm\_medium=text&amp;utm\_campaign=social\_sharing</t>
  </si>
  <si>
    <t>slap[rand]</t>
  </si>
  <si>
    <t>slap[location]</t>
  </si>
  <si>
    <t>brazilian[rand]</t>
  </si>
  <si>
    <t>brazilian[location]</t>
  </si>
  <si>
    <t>edm[rand]</t>
  </si>
  <si>
    <t>edm[location]</t>
  </si>
  <si>
    <t>**United Kingdom**</t>
  </si>
  <si>
    <t>**Germany**</t>
  </si>
  <si>
    <t>**France**</t>
  </si>
  <si>
    <t>**Brasil**</t>
  </si>
  <si>
    <t>**Mexico**</t>
  </si>
  <si>
    <t>**Italy**</t>
  </si>
  <si>
    <t>**Spain**</t>
  </si>
  <si>
    <t>**Australia**</t>
  </si>
  <si>
    <t>**Colombia**</t>
  </si>
  <si>
    <t>**Chile**</t>
  </si>
  <si>
    <t>**Japan**</t>
  </si>
  <si>
    <t>country</t>
  </si>
  <si>
    <t>min+3</t>
  </si>
  <si>
    <t>min+4</t>
  </si>
  <si>
    <t>min+5</t>
  </si>
  <si>
    <t>min+6</t>
  </si>
  <si>
    <t>min+7</t>
  </si>
  <si>
    <t>min+8</t>
  </si>
  <si>
    <t>min+9</t>
  </si>
  <si>
    <t>deep_country[rand]</t>
  </si>
  <si>
    <t>deep_country[country]</t>
  </si>
  <si>
    <t>tech_country[rand]</t>
  </si>
  <si>
    <t>tech_country[country]</t>
  </si>
  <si>
    <t>piano_country[rand]</t>
  </si>
  <si>
    <t>piano_country[country]</t>
  </si>
  <si>
    <t>indie_country[rand]</t>
  </si>
  <si>
    <t>indie_country[country]</t>
  </si>
  <si>
    <t>slap_country[rand]</t>
  </si>
  <si>
    <t>slap_country[country]</t>
  </si>
  <si>
    <t>brazilian_country[rand]</t>
  </si>
  <si>
    <t>brazilian_country[country]</t>
  </si>
  <si>
    <t>lo_fi_country[rand]</t>
  </si>
  <si>
    <t>lo_fi_country[country]</t>
  </si>
  <si>
    <t>edm_country[rand]</t>
  </si>
  <si>
    <t>edm_country[country]</t>
  </si>
  <si>
    <t>Artist count</t>
  </si>
  <si>
    <t>Text</t>
  </si>
  <si>
    <t>The very productive and skilled beatmaker #AQ#  is here deliver a lush, yet groovy and melancholic journey through ''#B#''! With it's dreamy and smooth vibe, it would be a great addition to lofi beats, Jazz Vibes and Mellow Beats playlists! Label will invest up to 5000 EUR advertising on facebook and instagram ads aswell as promoting it over label and label partners playlists, radio stations and press.</t>
  </si>
  <si>
    <t>The very productive and skilled beatmaker #AQ# teamed up with critically acclaimed #AR# to deliver a lush, yet groovy and melancholic journey through ''#B#''! With it's dreamy and smooth vibe, it would be a great addition to lofi beats, Jazz Vibes and Mellow Beats playlists! Label will invest up to 5000 EUR advertising on facebook and instagram ads aswell as promoting it over label and label partners playlists, radio stations and press.</t>
  </si>
  <si>
    <t>The very productive and skilled beatmaker #AQ# teamed up with critically acclaimed #AR# and #AS# to deliver a lush, yet groovy and melancholic journey through ''#B#''! With it's dreamy and smooth vibe, it would be a great addition to lofi beats, Jazz Vibes and Mellow Beats playlists! Label will invest up to 5000 EUR advertising on facebook and instagram ads aswell as promoting it over label and label partners playlists, radio stations and press.</t>
  </si>
  <si>
    <t>The very productive and skilled beatmaker #AQ# teamed up with critically acclaimed #AR# and #AS# and #AT# to deliver a lush, yet groovy and melancholic journey through ''#B#''! With it's dreamy and smooth vibe, it would be a great addition to lofi beats, Jazz Vibes and Mellow Beats playlists! Label will invest up to 5000 EUR advertising on facebook and instagram ads aswell as promoting it over label and label partners playlists, radio stations and press.</t>
  </si>
  <si>
    <t>The very productive and skilled beatmaker #AQ# teamed up with critically acclaimed #AR# and #AS# and #AT# and #AU# to deliver a lush, yet groovy and melancholic journey through ''#B#''! With it's dreamy and smooth vibe, it would be a great addition to lofi beats, Jazz Vibes and Mellow Beats playlists! Label will invest up to 5000 EUR advertising on facebook and instagram ads aswell as promoting it over label and label partners playlists, radio stations and press.</t>
  </si>
  <si>
    <t>"#B#" was inspired by the sounds of the ocean and nature. It combines a beautiful nostalgic chords with smooth #AQ# style soundscape. Label will invest up to 5000 EUR advertising on facebook and instagram ads aswell as promoting it over label and label partners playlists, radio stations and press. Song would fit perfectly in the Spotify Official lofi beats playlist.</t>
  </si>
  <si>
    <t>"#B#" was inspired by the sounds of the ocean and nature. It combines a beautiful nostalgic chords with smooth #AQ# and #AR# style soundscape. Label will invest up to 5000 EUR advertising on facebook and instagram ads aswell as promoting it over label and label partners playlists, radio stations and press. Song would fit perfectly in the Spotify Official lofi beats playlist.</t>
  </si>
  <si>
    <t>"#B#" was inspired by the sounds of the ocean and nature. It combines a beautiful nostalgic chords with smooth #AQ# and #AR# style soundscape. #AS# and Label will invest up to 5000 EUR advertising on facebook and instagram ads aswell as promoting it over label and label partners playlists, radio stations and press. Song would fit perfectly in the Spotify Official lofi beats playlist.</t>
  </si>
  <si>
    <t>"#B#" was inspired by the sounds of the ocean and nature. It combines a beautiful nostalgic chords with smooth #AQ# and #AR#, #AT# style soundscape. #AS# and Label will invest up to 5000 EUR advertising on facebook and instagram ads aswell as promoting it over label and label partners playlists, radio stations and press. Song would fit perfectly in the Spotify Official lofi beats playlist.</t>
  </si>
  <si>
    <t>"#B#" was inspired by the sounds of the ocean and nature. It combines a beautiful nostalgic chords with smooth #AQ# and #AR#, #AT# style soundscape. #AS#, #AU# and Label will invest up to 5000 EUR advertising on facebook and instagram ads aswell as promoting it over label and label partners playlists, radio stations and press. Song would fit perfectly in the Spotify Official lofi beats playlist.</t>
  </si>
  <si>
    <t>"#B#" was #C#</t>
  </si>
  <si>
    <t>"Floater" was Latvia</t>
  </si>
  <si>
    <t>"Rain Dance" was Latvia</t>
  </si>
  <si>
    <t>"Path" was Latvia</t>
  </si>
  <si>
    <t>"Upside Down" was Latvia</t>
  </si>
  <si>
    <t xml:space="preserve">"Physics" was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</si>
</sst>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
  </numFmts>
  <fonts count="7" x14ac:knownFonts="1">
    <font>
      <sz val="11"/>
      <color theme="1"/>
      <name val="Calibri"/>
      <family val="2"/>
      <scheme val="minor"/>
    </font>
    <font>
      <b/>
      <sz val="11"/>
      <name val="Calibri"/>
      <family val="2"/>
    </font>
    <font>
      <sz val="11"/>
      <color rgb="FFFF0000"/>
      <name val="Calibri"/>
      <family val="2"/>
      <scheme val="minor"/>
    </font>
    <font>
      <u/>
      <sz val="11"/>
      <color theme="10"/>
      <name val="Calibri"/>
      <family val="2"/>
      <scheme val="minor"/>
    </font>
    <font>
      <b/>
      <sz val="11"/>
      <color rgb="FFFF0000"/>
      <name val="Calibri"/>
      <family val="2"/>
      <scheme val="minor"/>
    </font>
    <font>
      <b/>
      <sz val="11"/>
      <color theme="1"/>
      <name val="Calibri"/>
      <family val="2"/>
      <scheme val="minor"/>
    </font>
    <font>
      <sz val="11"/>
      <color rgb="FF000000"/>
      <name val="Calibri"/>
      <family val="2"/>
    </font>
  </fonts>
  <fills count="11">
    <fill>
      <patternFill patternType="none"/>
    </fill>
    <fill>
      <patternFill patternType="gray125"/>
    </fill>
    <fill>
      <patternFill patternType="solid">
        <fgColor theme="3" tint="0.59999389629810485"/>
        <bgColor indexed="64"/>
      </patternFill>
    </fill>
    <fill>
      <patternFill patternType="solid">
        <fgColor theme="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2" tint="-0.249977111117893"/>
        <bgColor indexed="64"/>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00B050"/>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theme="0"/>
      </bottom>
      <diagonal/>
    </border>
  </borders>
  <cellStyleXfs count="2">
    <xf numFmtId="0" fontId="0" fillId="0" borderId="0"/>
    <xf numFmtId="0" fontId="3" fillId="0" borderId="0"/>
  </cellStyleXfs>
  <cellXfs count="34">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164" fontId="0" fillId="0" borderId="0" xfId="0" applyNumberFormat="1"/>
    <xf numFmtId="0" fontId="0" fillId="0" borderId="4" xfId="0" applyBorder="1"/>
    <xf numFmtId="0" fontId="0" fillId="0" borderId="5" xfId="0" applyBorder="1" applyAlignment="1">
      <alignment vertical="center"/>
    </xf>
    <xf numFmtId="0" fontId="1" fillId="0" borderId="6" xfId="0" applyFont="1" applyBorder="1" applyAlignment="1">
      <alignment horizontal="center" vertical="top"/>
    </xf>
    <xf numFmtId="0" fontId="0" fillId="0" borderId="0" xfId="0" applyAlignment="1">
      <alignment vertical="center"/>
    </xf>
    <xf numFmtId="0" fontId="0" fillId="0" borderId="7" xfId="0" applyBorder="1"/>
    <xf numFmtId="0" fontId="2" fillId="0" borderId="0" xfId="0" applyFont="1"/>
    <xf numFmtId="0" fontId="0" fillId="0" borderId="0" xfId="0" applyAlignment="1">
      <alignment horizontal="center"/>
    </xf>
    <xf numFmtId="0" fontId="1" fillId="0" borderId="3" xfId="0" applyFont="1" applyBorder="1" applyAlignment="1">
      <alignment horizontal="center" vertical="top"/>
    </xf>
    <xf numFmtId="0" fontId="1" fillId="4" borderId="9" xfId="0" applyFont="1" applyFill="1" applyBorder="1" applyAlignment="1">
      <alignment horizontal="center" vertical="top"/>
    </xf>
    <xf numFmtId="0" fontId="2" fillId="7" borderId="0" xfId="0" applyFont="1" applyFill="1"/>
    <xf numFmtId="0" fontId="0" fillId="0" borderId="0" xfId="0" applyAlignment="1">
      <alignment vertical="center" wrapText="1"/>
    </xf>
    <xf numFmtId="1" fontId="0" fillId="0" borderId="0" xfId="0" applyNumberFormat="1"/>
    <xf numFmtId="0" fontId="3" fillId="0" borderId="0" xfId="1"/>
    <xf numFmtId="0" fontId="1" fillId="10" borderId="0" xfId="0" applyFont="1" applyFill="1" applyAlignment="1">
      <alignment horizontal="center" vertical="top"/>
    </xf>
    <xf numFmtId="0" fontId="4" fillId="5" borderId="1" xfId="0" applyFont="1" applyFill="1" applyBorder="1" applyAlignment="1">
      <alignment horizontal="center"/>
    </xf>
    <xf numFmtId="0" fontId="0" fillId="8" borderId="1" xfId="0" applyFill="1" applyBorder="1"/>
    <xf numFmtId="0" fontId="0" fillId="9" borderId="1" xfId="0" applyFill="1" applyBorder="1"/>
    <xf numFmtId="0" fontId="0" fillId="9" borderId="1" xfId="0" applyFill="1" applyBorder="1" applyAlignment="1">
      <alignment vertical="center"/>
    </xf>
    <xf numFmtId="0" fontId="0" fillId="8" borderId="1" xfId="0" applyFill="1" applyBorder="1" applyAlignment="1">
      <alignment vertical="center"/>
    </xf>
    <xf numFmtId="0" fontId="0" fillId="8" borderId="11" xfId="0" applyFill="1" applyBorder="1"/>
    <xf numFmtId="0" fontId="0" fillId="8" borderId="11" xfId="0" applyFill="1" applyBorder="1" applyAlignment="1">
      <alignment vertical="center"/>
    </xf>
    <xf numFmtId="0" fontId="0" fillId="9" borderId="11" xfId="0" applyFill="1" applyBorder="1"/>
    <xf numFmtId="0" fontId="0" fillId="9" borderId="11" xfId="0" applyFill="1" applyBorder="1" applyAlignment="1">
      <alignment vertical="center"/>
    </xf>
    <xf numFmtId="0" fontId="5" fillId="0" borderId="0" xfId="0" applyFont="1" applyAlignment="1">
      <alignment horizontal="center"/>
    </xf>
    <xf numFmtId="0" fontId="1" fillId="2" borderId="8" xfId="0" applyFont="1" applyFill="1" applyBorder="1" applyAlignment="1">
      <alignment horizontal="center" vertical="top"/>
    </xf>
    <xf numFmtId="0" fontId="0" fillId="0" borderId="9" xfId="0" applyBorder="1"/>
    <xf numFmtId="0" fontId="0" fillId="6" borderId="10" xfId="0" applyFill="1" applyBorder="1" applyAlignment="1">
      <alignment horizontal="center"/>
    </xf>
    <xf numFmtId="0" fontId="0" fillId="0" borderId="10" xfId="0" applyBorder="1"/>
    <xf numFmtId="0" fontId="1" fillId="3" borderId="9" xfId="0" applyFont="1" applyFill="1" applyBorder="1" applyAlignment="1">
      <alignment horizontal="center" vertical="top"/>
    </xf>
    <xf numFmtId="0" fontId="1" fillId="5" borderId="9" xfId="0" applyFont="1" applyFill="1" applyBorder="1" applyAlignment="1">
      <alignment horizontal="center" vertical="top"/>
    </xf>
  </cellXfs>
  <cellStyles count="2">
    <cellStyle name="Hyperlink" xfId="1" builtinId="8"/>
    <cellStyle name="Normal" xfId="0" builtinId="0"/>
  </cellStyles>
  <dxfs count="32">
    <dxf>
      <border outline="0">
        <top style="thin">
          <color auto="1"/>
        </top>
        <bottom style="medium">
          <color indexed="64"/>
        </bottom>
      </border>
    </dxf>
    <dxf>
      <border outline="0">
        <bottom style="thin">
          <color auto="1"/>
        </bottom>
      </border>
    </dxf>
    <dxf>
      <numFmt numFmtId="0" formatCode="General"/>
    </dxf>
    <dxf>
      <numFmt numFmtId="0" formatCode="General"/>
    </dxf>
    <dxf>
      <numFmt numFmtId="0" formatCode="General"/>
    </dxf>
    <dxf>
      <numFmt numFmtId="0" formatCode="General"/>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alignment horizontal="general" vertical="center"/>
      <border>
        <left/>
        <right style="medium">
          <color indexed="64"/>
        </right>
        <top/>
        <bottom/>
        <vertical/>
        <horizontal/>
      </border>
    </dxf>
    <dxf>
      <alignment horizontal="general" vertical="center"/>
      <border>
        <left/>
        <right style="medium">
          <color indexed="64"/>
        </right>
        <top/>
        <bottom/>
        <vertical/>
        <horizontal/>
      </border>
    </dxf>
    <dxf>
      <border>
        <left style="medium">
          <color indexed="64"/>
        </left>
        <right/>
        <top/>
        <bottom/>
        <vertical/>
        <horizontal/>
      </border>
    </dxf>
    <dxf>
      <border outline="0">
        <top style="thin">
          <color auto="1"/>
        </top>
        <bottom style="medium">
          <color indexed="64"/>
        </bottom>
      </border>
    </dxf>
    <dxf>
      <border outline="0">
        <bottom style="thin">
          <color auto="1"/>
        </bottom>
      </border>
    </dxf>
    <dxf>
      <fill>
        <patternFill patternType="solid">
          <fgColor indexed="64"/>
          <bgColor rgb="FFFFFF00"/>
        </patternFill>
      </fill>
      <alignment horizontal="center" vertical="bottom"/>
      <border outline="0">
        <left style="thin">
          <color auto="1"/>
        </left>
        <right style="thin">
          <color auto="1"/>
        </right>
        <top/>
        <bottom/>
      </border>
    </dxf>
    <dxf>
      <numFmt numFmtId="0" formatCode="General"/>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25</xdr:row>
          <xdr:rowOff>28575</xdr:rowOff>
        </xdr:from>
        <xdr:to>
          <xdr:col>7</xdr:col>
          <xdr:colOff>180975</xdr:colOff>
          <xdr:row>28</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xdr:wsDr>
</file>

<file path=xl/tables/table1.xml><?xml version="1.0" encoding="utf-8"?>
<table xmlns="http://schemas.openxmlformats.org/spreadsheetml/2006/main" id="1" name="deep" displayName="deep" ref="BA2:BC5" totalsRowShown="0" headerRowBorderDxfId="22" tableBorderDxfId="21">
  <autoFilter ref="BA2:BC5"/>
  <sortState ref="BA3:BC5">
    <sortCondition ref="BC2:BC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ech" displayName="tech" ref="BE2:BH5" totalsRowShown="0" headerRowBorderDxfId="20" tableBorderDxfId="19">
  <autoFilter ref="BE2:BH5"/>
  <sortState ref="BE3:BG5">
    <sortCondition ref="BG2:BG5"/>
  </sortState>
  <tableColumns count="4">
    <tableColumn id="1" name="Location"/>
    <tableColumn id="2" name="Genre"/>
    <tableColumn id="3" name="Rand">
      <calculatedColumnFormula>+RAND()</calculatedColumnFormula>
    </tableColumn>
    <tableColumn id="4" name="Colonna1" dataDxfId="18">
      <calculatedColumnFormula>+tech[[#This Row],[Rand]]</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piano" displayName="piano" ref="BJ2:BL6" totalsRowShown="0" headerRowDxfId="17" headerRowBorderDxfId="16" tableBorderDxfId="15">
  <autoFilter ref="BJ2:BL6"/>
  <sortState ref="BJ3:BL6">
    <sortCondition ref="BL2:BL6"/>
  </sortState>
  <tableColumns count="3">
    <tableColumn id="1" name="Location" dataDxfId="14"/>
    <tableColumn id="2" name="Genre" dataDxfId="13"/>
    <tableColumn id="3" name="Rand" dataDxfId="12">
      <calculatedColumnFormula>+RAND()</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indie" displayName="indie" ref="BN2:BP5" totalsRowShown="0" headerRowBorderDxfId="11" tableBorderDxfId="10">
  <autoFilter ref="BN2:BP5"/>
  <sortState ref="BN3:BP5">
    <sortCondition ref="BP2:BP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slap" displayName="slap" ref="BR2:BT5" totalsRowShown="0" headerRowBorderDxfId="9" tableBorderDxfId="8">
  <autoFilter ref="BR2:BT5"/>
  <sortState ref="BR3:BT5">
    <sortCondition ref="BT2:BT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brazilian" displayName="brazilian" ref="BV2:BX5" totalsRowShown="0" headerRowBorderDxfId="7" tableBorderDxfId="6">
  <autoFilter ref="BV2:BX5"/>
  <sortState ref="BV3:BX5">
    <sortCondition ref="BX2:BX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map_location" displayName="map_location" ref="BD8:BJ15" totalsRowShown="0">
  <autoFilter ref="BD8:BJ15"/>
  <tableColumns count="7">
    <tableColumn id="1" name="Genre"/>
    <tableColumn id="2" name="rand"/>
    <tableColumn id="3" name="location"/>
    <tableColumn id="4" name="1* rand" dataDxfId="5">
      <calculatedColumnFormula>+map_location[[#This Row],[rand]]</calculatedColumnFormula>
    </tableColumn>
    <tableColumn id="5" name="min" dataDxfId="4">
      <calculatedColumnFormula array="1">INDIRECT(BH16,FALSE)</calculatedColumnFormula>
    </tableColumn>
    <tableColumn id="6" name="MIN+1"/>
    <tableColumn id="7" name="MIN+2"/>
  </tableColumns>
  <tableStyleInfo name="TableStyleMedium9" showFirstColumn="0" showLastColumn="0" showRowStripes="1" showColumnStripes="0"/>
</table>
</file>

<file path=xl/tables/table8.xml><?xml version="1.0" encoding="utf-8"?>
<table xmlns="http://schemas.openxmlformats.org/spreadsheetml/2006/main" id="8" name="tech_country" displayName="tech_country" ref="BF20:BH31" totalsRowShown="0">
  <autoFilter ref="BF20:BH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deep_country" displayName="deep_country" ref="BA20:BC31" totalsRowShown="0">
  <autoFilter ref="BA20:BC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brazilian_country" displayName="brazilian_country" ref="BA34:BC45" totalsRowShown="0">
  <autoFilter ref="BA34:BC45"/>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id="11" name="lo_fi_country" displayName="lo_fi_country" ref="BF34:BH39" totalsRowShown="0">
  <autoFilter ref="BF34:BH39"/>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id="12" name="piano_country" displayName="piano_country" ref="BJ20:BL31" totalsRowShown="0">
  <autoFilter ref="BJ20:BL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id="13" name="slap_country" displayName="slap_country" ref="BK34:BM45" totalsRowShown="0">
  <autoFilter ref="BK34:BM45"/>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indie_country" displayName="indie_country" ref="BN20:BP31" totalsRowShown="0">
  <autoFilter ref="BN20:BP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5" name="map_country" displayName="map_country" ref="BE50:BR58" totalsRowShown="0">
  <autoFilter ref="BE50:BR58"/>
  <tableColumns count="14">
    <tableColumn id="1" name="Genre"/>
    <tableColumn id="2" name="rand"/>
    <tableColumn id="3" name="country"/>
    <tableColumn id="4" name="1* rand" dataDxfId="3">
      <calculatedColumnFormula>+map_country[[#This Row],[rand]]</calculatedColumnFormula>
    </tableColumn>
    <tableColumn id="5" name="min" dataDxfId="2">
      <calculatedColumnFormula array="1">INDIRECT(BI58,FALSE)</calculatedColumnFormula>
    </tableColumn>
    <tableColumn id="6" name="MIN+1">
      <calculatedColumnFormula>+SUBSTITUTE(map_country[[#This Row],[min]],MID(map_country[[#This Row],[min]],2,2),MID(map_country[[#This Row],[min]],2,2)+1)</calculatedColumnFormula>
    </tableColumn>
    <tableColumn id="7" name="MIN+2">
      <calculatedColumnFormula>+SUBSTITUTE(map_country[[#This Row],[min]],MID(map_country[[#This Row],[min]],2,2),MID(map_country[[#This Row],[min]],2,2)+2)</calculatedColumnFormula>
    </tableColumn>
    <tableColumn id="8" name="min+3">
      <calculatedColumnFormula>+SUBSTITUTE(map_country[[#This Row],[min]],MID(map_country[[#This Row],[min]],2,2),MID(map_country[[#This Row],[min]],2,2)+3)</calculatedColumnFormula>
    </tableColumn>
    <tableColumn id="9" name="min+4">
      <calculatedColumnFormula>+SUBSTITUTE(map_country[[#This Row],[min]],MID(map_country[[#This Row],[min]],2,2),MID(map_country[[#This Row],[min]],2,2)+4)</calculatedColumnFormula>
    </tableColumn>
    <tableColumn id="10" name="min+5">
      <calculatedColumnFormula>+SUBSTITUTE(map_country[[#This Row],[min]],MID(map_country[[#This Row],[min]],2,2),MID(map_country[[#This Row],[min]],2,2)+5)</calculatedColumnFormula>
    </tableColumn>
    <tableColumn id="11" name="min+6">
      <calculatedColumnFormula>+SUBSTITUTE(map_country[[#This Row],[min]],MID(map_country[[#This Row],[min]],2,2),MID(map_country[[#This Row],[min]],2,2)+6)</calculatedColumnFormula>
    </tableColumn>
    <tableColumn id="12" name="min+7">
      <calculatedColumnFormula>+SUBSTITUTE(map_country[[#This Row],[min]],MID(map_country[[#This Row],[min]],2,2),MID(map_country[[#This Row],[min]],2,2)+7)</calculatedColumnFormula>
    </tableColumn>
    <tableColumn id="13" name="min+8">
      <calculatedColumnFormula>+SUBSTITUTE(map_country[[#This Row],[min]],MID(map_country[[#This Row],[min]],2,2),MID(map_country[[#This Row],[min]],2,2)+8)</calculatedColumnFormula>
    </tableColumn>
    <tableColumn id="14" name="min+9">
      <calculatedColumnFormula>+SUBSTITUTE(map_country[[#This Row],[min]],MID(map_country[[#This Row],[min]],2,2),MID(map_country[[#This Row],[min]],2,2)+9)</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6" name="edm" displayName="edm" ref="BZ2:CB5" totalsRowShown="0" headerRowBorderDxfId="1" tableBorderDxfId="0">
  <autoFilter ref="BZ2:CB5"/>
  <sortState ref="BZ3:CB5">
    <sortCondition ref="CB2:CB5"/>
  </sortState>
  <tableColumns count="3">
    <tableColumn id="1" name="Location"/>
    <tableColumn id="2" name="Genre"/>
    <tableColumn id="3" name="Rand">
      <calculatedColumnFormula>+RAND()</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id="17" name="edm_country" displayName="edm_country" ref="BR20:BT31" totalsRowShown="0">
  <autoFilter ref="BR20:BT31"/>
  <tableColumns count="3">
    <tableColumn id="1" name="Country"/>
    <tableColumn id="2" name="Genre"/>
    <tableColumn id="3" name="Rand">
      <calculatedColumnFormula>+RAND()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18" Type="http://schemas.openxmlformats.org/officeDocument/2006/relationships/table" Target="../tables/table14.xml"/><Relationship Id="rId3" Type="http://schemas.openxmlformats.org/officeDocument/2006/relationships/vmlDrawing" Target="../drawings/vmlDrawing1.vml"/><Relationship Id="rId21" Type="http://schemas.openxmlformats.org/officeDocument/2006/relationships/table" Target="../tables/table17.xml"/><Relationship Id="rId7" Type="http://schemas.openxmlformats.org/officeDocument/2006/relationships/table" Target="../tables/table3.xml"/><Relationship Id="rId12" Type="http://schemas.openxmlformats.org/officeDocument/2006/relationships/table" Target="../tables/table8.xml"/><Relationship Id="rId17" Type="http://schemas.openxmlformats.org/officeDocument/2006/relationships/table" Target="../tables/table13.xml"/><Relationship Id="rId2" Type="http://schemas.openxmlformats.org/officeDocument/2006/relationships/drawing" Target="../drawings/drawing1.xml"/><Relationship Id="rId16" Type="http://schemas.openxmlformats.org/officeDocument/2006/relationships/table" Target="../tables/table12.xml"/><Relationship Id="rId20" Type="http://schemas.openxmlformats.org/officeDocument/2006/relationships/table" Target="../tables/table16.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19" Type="http://schemas.openxmlformats.org/officeDocument/2006/relationships/table" Target="../tables/table15.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G92"/>
  <sheetViews>
    <sheetView tabSelected="1" topLeftCell="H1" zoomScale="80" zoomScaleNormal="80" workbookViewId="0">
      <selection activeCell="O17" sqref="O17"/>
    </sheetView>
  </sheetViews>
  <sheetFormatPr defaultRowHeight="15" outlineLevelCol="1" x14ac:dyDescent="0.25"/>
  <cols>
    <col min="1" max="1" width="52.28515625" bestFit="1" customWidth="1"/>
    <col min="2" max="2" width="16.7109375" customWidth="1"/>
    <col min="3" max="3" width="13.7109375" customWidth="1" outlineLevel="1"/>
    <col min="4" max="5" width="20.85546875" customWidth="1" outlineLevel="1"/>
    <col min="6" max="6" width="17.28515625" customWidth="1" outlineLevel="1"/>
    <col min="7" max="7" width="13.7109375" customWidth="1" outlineLevel="1"/>
    <col min="8" max="8" width="13.7109375" customWidth="1"/>
    <col min="9" max="13" width="13.7109375" customWidth="1" outlineLevel="1"/>
    <col min="14" max="15" width="15.42578125" customWidth="1" outlineLevel="1"/>
    <col min="16" max="17" width="13.7109375" hidden="1" customWidth="1" outlineLevel="1"/>
    <col min="18" max="18" width="9.140625" hidden="1" customWidth="1" outlineLevel="1"/>
    <col min="19" max="19" width="16.140625" hidden="1" customWidth="1" outlineLevel="1"/>
    <col min="20" max="20" width="9.140625" hidden="1" customWidth="1" outlineLevel="1"/>
    <col min="21" max="21" width="8.85546875" hidden="1" customWidth="1" outlineLevel="1"/>
    <col min="22" max="23" width="12.42578125" hidden="1" customWidth="1" outlineLevel="1"/>
    <col min="24" max="24" width="27.7109375" hidden="1" customWidth="1" outlineLevel="1"/>
    <col min="25" max="25" width="21.7109375" hidden="1" customWidth="1" outlineLevel="1"/>
    <col min="26" max="26" width="31" hidden="1" customWidth="1"/>
    <col min="27" max="32" width="8.85546875" hidden="1" customWidth="1" outlineLevel="1"/>
    <col min="33" max="33" width="8.85546875" hidden="1" customWidth="1" outlineLevel="1" collapsed="1"/>
    <col min="34" max="34" width="68.42578125" customWidth="1" collapsed="1"/>
    <col min="35" max="35" width="41.85546875" customWidth="1" outlineLevel="1"/>
    <col min="36" max="36" width="14.85546875" customWidth="1" outlineLevel="1"/>
    <col min="37" max="37" width="18.5703125" bestFit="1" customWidth="1" outlineLevel="1"/>
    <col min="38" max="38" width="14.42578125" bestFit="1" customWidth="1"/>
    <col min="39" max="39" width="15.28515625" customWidth="1" outlineLevel="1"/>
    <col min="40" max="40" width="28" customWidth="1"/>
    <col min="41" max="41" width="10" customWidth="1"/>
    <col min="42" max="42" width="48.28515625" style="9" customWidth="1" outlineLevel="1"/>
    <col min="43" max="43" width="23.85546875" style="9" customWidth="1" outlineLevel="1"/>
    <col min="44" max="44" width="35.5703125" style="9" customWidth="1" outlineLevel="1"/>
    <col min="45" max="45" width="10" style="9" customWidth="1" outlineLevel="1"/>
    <col min="46" max="46" width="9" style="9" customWidth="1" outlineLevel="1"/>
    <col min="47" max="47" width="8.140625" style="9" customWidth="1" outlineLevel="1"/>
    <col min="48" max="48" width="8.85546875" customWidth="1"/>
    <col min="50" max="50" width="8.85546875" customWidth="1"/>
    <col min="53" max="53" width="38.85546875" bestFit="1" customWidth="1"/>
    <col min="54" max="54" width="12.85546875" bestFit="1" customWidth="1"/>
    <col min="55" max="55" width="14.7109375" bestFit="1" customWidth="1"/>
    <col min="56" max="56" width="17.140625" bestFit="1" customWidth="1"/>
    <col min="57" max="57" width="22.140625" customWidth="1"/>
    <col min="58" max="58" width="21.28515625" bestFit="1" customWidth="1"/>
    <col min="59" max="59" width="14.7109375" bestFit="1" customWidth="1"/>
    <col min="60" max="60" width="21.28515625" bestFit="1" customWidth="1"/>
    <col min="61" max="61" width="9.85546875" customWidth="1"/>
    <col min="62" max="62" width="34.28515625" bestFit="1" customWidth="1"/>
    <col min="63" max="63" width="13.28515625" bestFit="1" customWidth="1"/>
    <col min="64" max="64" width="14.7109375" bestFit="1" customWidth="1"/>
    <col min="66" max="66" width="33.28515625" bestFit="1" customWidth="1"/>
    <col min="67" max="67" width="17.140625" bestFit="1" customWidth="1"/>
    <col min="68" max="68" width="14.7109375" bestFit="1" customWidth="1"/>
    <col min="70" max="70" width="38.7109375" bestFit="1" customWidth="1"/>
    <col min="71" max="71" width="12" bestFit="1" customWidth="1"/>
    <col min="72" max="72" width="14.7109375" bestFit="1" customWidth="1"/>
    <col min="74" max="74" width="42.5703125" bestFit="1" customWidth="1"/>
    <col min="75" max="75" width="14.28515625" bestFit="1" customWidth="1"/>
    <col min="76" max="76" width="14.7109375" bestFit="1" customWidth="1"/>
    <col min="319" max="319" width="13.7109375" customWidth="1"/>
  </cols>
  <sheetData>
    <row r="1" spans="1:319" ht="15.75" customHeight="1" thickBot="1" x14ac:dyDescent="0.3">
      <c r="A1" s="1" t="s">
        <v>0</v>
      </c>
      <c r="B1" s="1" t="s">
        <v>1</v>
      </c>
      <c r="C1" s="1" t="s">
        <v>2</v>
      </c>
      <c r="D1" s="1" t="s">
        <v>3</v>
      </c>
      <c r="E1" s="1" t="s">
        <v>4</v>
      </c>
      <c r="F1" s="1" t="s">
        <v>5</v>
      </c>
      <c r="G1" s="1" t="s">
        <v>6</v>
      </c>
      <c r="H1" s="6" t="s">
        <v>7</v>
      </c>
      <c r="I1" s="1" t="s">
        <v>8</v>
      </c>
      <c r="J1" s="1" t="s">
        <v>9</v>
      </c>
      <c r="K1" s="1" t="s">
        <v>10</v>
      </c>
      <c r="L1" s="1" t="s">
        <v>11</v>
      </c>
      <c r="M1" s="2" t="s">
        <v>12</v>
      </c>
      <c r="N1" s="11" t="s">
        <v>13</v>
      </c>
      <c r="O1" s="17" t="s">
        <v>14</v>
      </c>
      <c r="P1" s="28" t="s">
        <v>15</v>
      </c>
      <c r="Q1" s="29"/>
      <c r="R1" s="29"/>
      <c r="S1" s="29"/>
      <c r="T1" s="29"/>
      <c r="U1" s="29"/>
      <c r="V1" s="32" t="s">
        <v>16</v>
      </c>
      <c r="W1" s="29"/>
      <c r="X1" s="12" t="s">
        <v>17</v>
      </c>
      <c r="Y1" s="33" t="s">
        <v>18</v>
      </c>
      <c r="Z1" s="29"/>
      <c r="AA1" s="29"/>
      <c r="AB1" s="29"/>
      <c r="AC1" s="29"/>
      <c r="AD1" s="29"/>
      <c r="AE1" s="29"/>
      <c r="AF1" s="29"/>
      <c r="AG1" s="29"/>
      <c r="AH1" s="29"/>
      <c r="AI1" s="30" t="s">
        <v>19</v>
      </c>
      <c r="AJ1" s="29"/>
      <c r="AK1" s="29"/>
      <c r="AL1" s="29"/>
      <c r="AM1" s="29"/>
      <c r="AN1" s="31"/>
      <c r="AO1" s="10"/>
      <c r="AP1" s="9" t="s">
        <v>20</v>
      </c>
      <c r="AQ1" s="9" t="s">
        <v>21</v>
      </c>
      <c r="AR1" s="9" t="s">
        <v>22</v>
      </c>
      <c r="AS1" s="9" t="s">
        <v>23</v>
      </c>
      <c r="AT1" s="9" t="s">
        <v>24</v>
      </c>
      <c r="AU1" s="9" t="s">
        <v>25</v>
      </c>
      <c r="AV1" s="13" t="s">
        <v>26</v>
      </c>
      <c r="LG1" s="1"/>
    </row>
    <row r="2" spans="1:319" ht="17.25" customHeight="1" x14ac:dyDescent="0.25">
      <c r="A2" t="s">
        <v>27</v>
      </c>
      <c r="B2" t="s">
        <v>28</v>
      </c>
      <c r="C2" t="s">
        <v>29</v>
      </c>
      <c r="D2" t="s">
        <v>30</v>
      </c>
      <c r="E2" t="s">
        <v>31</v>
      </c>
      <c r="F2">
        <v>5063212512391</v>
      </c>
      <c r="G2" t="s">
        <v>32</v>
      </c>
      <c r="H2" s="7" t="s">
        <v>33</v>
      </c>
      <c r="I2" t="s">
        <v>34</v>
      </c>
      <c r="J2" t="s">
        <v>35</v>
      </c>
      <c r="K2" s="16" t="s">
        <v>36</v>
      </c>
      <c r="L2" t="s">
        <v>37</v>
      </c>
      <c r="M2">
        <v>2</v>
      </c>
      <c r="N2" t="s">
        <v>38</v>
      </c>
      <c r="O2">
        <v>3</v>
      </c>
      <c r="P2" t="str">
        <f t="shared" ref="P2:P33" si="0">IF(N2="Remix","Citas:Remix",IF(N2="Cover","Citas:Cover",IF(N2="Radio","Single",IF(N2="Radio/Extended","Single",""))))</f>
        <v>Single</v>
      </c>
      <c r="Q2" t="str">
        <f t="shared" ref="Q2:Q33" si="1">IF(M2=1,"High_Priority",IF(M2=2,"Priority",IF(M2=3,"General_Release",IF(M2=4,"General_Release",IF(M2="","")))))</f>
        <v>Priority</v>
      </c>
      <c r="R2" t="str">
        <f t="shared" ref="R2:R33" si="2">IF(N2="Remix","Citas:Remix",IF(N2="Cover","Citas:Cover",IF(N2="Radio","Single",IF(N2="Radio/Extended","Single",""))))</f>
        <v>Single</v>
      </c>
      <c r="S2" t="str">
        <f t="array" ref="S2">IF(SUM(COUNTIF(H2,{"*Deep*";"*Bass*";"*Slap*"})),"Citas:Deep House",IF(SUM(COUNTIF(H2,{"*Lo-Fi*"})),"Citas:Lo-Fi",IF(SUM(COUNTIF(H2,{"*Tech*"})),"Citas:Tech House",IF(SUM(COUNTIF(H2,{"*Indie/Chill Dance*"})),"Citas:Indie/Chill Dance",IF(SUM(COUNTIF(H2,{"*Piano*"})),"Citas:Piano House",IF(SUM(COUNTIF(H2,{"*EDM*"})),"edm dance",IF(H2="","","")))))))</f>
        <v>Citas:Lo-Fi</v>
      </c>
      <c r="T2" t="str">
        <f t="array" ref="T2">IF(SUM(COUNTIF(H2,{"*Deep*";"*Bass*";"*Slap*"})),"energetic",IF(SUM(COUNTIF(H2,{"*Lo-Fi*"})),"calm",IF(SUM(COUNTIF(H2,{"*Tech*"})),"energetic",IF(SUM(COUNTIF(H2,{"*Indie/Chill Dance*"})),"chillout",IF(SUM(COUNTIF(H2,{"*Piano*"})),"energetic",IF(SUM(COUNTIF(H2,{"*EDM*"})),"energetic",IF(H2="","","")))))))</f>
        <v>calm</v>
      </c>
      <c r="U2" t="str">
        <f t="array" ref="U2">IF(SUM(COUNTIF(H2,{"*Tech*";"*EDM*";"*Indie*";"*Deep*";"*Piano*";"*Slap*";"*Brazilian Bass*"})),"Song would perfectly fit in any dance mood playlist! Label will invest up to 5000 EUR advertising on facebook and instagram ads aswell as promoting it over label and label partners playlists, radio stations and press.",IF(SUM(COUNTIF(H2,{"*Lo-Fi*"})),"Song would perfectly fit in any Lo-Fi mood playlist! Label will invest up to 5000 EUR advertising on facebook and instagram ads aswell as promoting it over label and label partners playlists, radio stations and press.",IF(H2="","","")))</f>
        <v>Song would perfectly fit in any Lo-Fi mood playlist! Label will invest up to 5000 EUR advertising on facebook and instagram ads aswell as promoting it over label and label partners playlists, radio stations and press.</v>
      </c>
      <c r="V2" t="str">
        <f t="shared" ref="V2:V33" si="3">IF(N2="Cover","SGL",IF(N2="Radio","SGL",IF(N2="Remix","RMX",IF(N2="","","SGL"))))</f>
        <v>SGL</v>
      </c>
      <c r="W2" t="str">
        <f>IF(L2="Floating Blue Records","Indie &amp; Alternative",IF(L2="Day Dose Of House","Dance &amp; EDM","Dance &amp; EDM"))</f>
        <v>Indie &amp; Alternative</v>
      </c>
      <c r="X2" t="str">
        <f>IF(L2="Floating Blue Records","Instrumental only",IF(L2="Day Dose Of House","Electronic, Dance, Deep House","Instrumental only"))</f>
        <v>Instrumental only</v>
      </c>
      <c r="Y2" t="str">
        <f>IF(L2="Floating Blue Records","Yes","Yes")</f>
        <v>Yes</v>
      </c>
      <c r="Z2" t="str">
        <f t="array" aca="1" ref="Z2" ca="1">+IF(H2="LO-FI","",IFERROR(INDEX(INDIRECT((_xlfn.XLOOKUP(H2,map_location[Genre],map_location[location]))),RANK(INDIRECT((_xlfn.XLOOKUP(H2,map_location[Genre],map_location[min])),FALSE),INDIRECT((_xlfn.XLOOKUP(H2,map_location[Genre],map_location[rand]))),1)),""))</f>
        <v/>
      </c>
      <c r="AA2" t="str">
        <f t="array" ref="AA2">IF(SUM(COUNTIF(H2,{"*Deep*";"*Bass*";"*Slap*"})),"**Deep House**House**Dance**",IF(SUM(COUNTIF(H2,{"*Lo-Fi*"})),"**Lo-Fi Pop**Lo-Fi Beats**Lo-Fi**",IF(SUM(COUNTIF(H2,{"*Tech*"})),"**Deep House**Tech House**Dance**",IF(SUM(COUNTIF(H2,{"*Indie/Chill Dance*"})),"**Indie Dance**Indie Electronic**Dance Pop**",IF(SUM(COUNTIF(H2,{"*Piano*"})),"**House**Electro house**Melodic House**",IF(SUM(COUNTIF(H2,{"*EDM*"})),"**EDM**Electro house**Dance Pop**",IF(H2="","","")))))))</f>
        <v>**Lo-Fi Pop**Lo-Fi Beats**Lo-Fi**</v>
      </c>
      <c r="AB2" t="str">
        <f t="array" ref="AB2">IF(SUM(COUNTIF(H2,{"*Deep*";"*Bass*";"*Slap*"})),"Energetic,Happy",IF(SUM(COUNTIF(H2,{"*Lo-Fi*"})),"Romantic,Chill",IF(SUM(COUNTIF(H2,{"*Tech*"})),"Energetic,Happy",IF(SUM(COUNTIF(H2,{"*Indie/Chill Dance*"})),"Energetic,Chill",IF(SUM(COUNTIF(H2,{"*Piano*"})),"Energetic,Happy",IF(SUM(COUNTIF(H2,{"*EDM*"})),"Energetic,Happy",IF(H2="","","")))))))</f>
        <v>Romantic,Chill</v>
      </c>
      <c r="AC2" t="str">
        <f t="array" ref="AC2">IF(SUM(COUNTIF(H2,{"*Deep*";"*Bass*";"*Slap*"})),"None of these",IF(SUM(COUNTIF(H2,{"*Lo-Fi*"})),"Holiday,Beats",IF(SUM(COUNTIF(H2,{"*Tech*"})),"None of these",IF(SUM(COUNTIF(H2,{"*Indie/Chill Dance*"})),"None of these",IF(SUM(COUNTIF(H2,{"*Piano*"})),"None of these",IF(SUM(COUNTIF(H2,{"*EDM*"})),"None of these",IF(H2="","","")))))))</f>
        <v>Holiday,Beats</v>
      </c>
      <c r="AD2" t="str">
        <f t="array" ref="AD2">IF(SUM(COUNTIF(H2,{"*Deep*";"*Bass*";"*Slap*"})),"Samples,Synthesizer,Bass Guitar,Piano,Drum Kit,Electric Guitar",IF(SUM(COUNTIF(H2,{"*Lo-Fi*"})),"Samples,Synthesizer,Bass Guitar,Piano,Drum Kit,Electric Guitar",IF(SUM(COUNTIF(H2,{"*Tech*"})),"Samples,Synthesizer,Bass Guitar,Piano,Drum Kit,Electric Guitar",IF(SUM(COUNTIF(H2,{"*Indie/Chill Dance*"})),"Samples,Synthesizer,Bass Guitar,Piano,Drum Kit,Electric Guitar",IF(SUM(COUNTIF(H2,{"*Piano*"})),"Samples,Synthesizer,Bass Guitar,Piano,Drum Kit,Electric Guitar",IF(SUM(COUNTIF(H2,{"*EDM*"})),"Samples,Synthesizer,Bass Guitar,Piano,Drum Kit,Electric Guitar",IF(H2="","","")))))))</f>
        <v>Samples,Synthesizer,Bass Guitar,Piano,Drum Kit,Electric Guitar</v>
      </c>
      <c r="AE2" t="str">
        <f t="array" ref="AE2">IF(N2="Cover","Yes",IF(SUM(COUNTIF(N2,{"*Radio/Extended*";"*Radio*";"*Remix*"})),"No",""))</f>
        <v>No</v>
      </c>
      <c r="AF2" t="str">
        <f t="array" ref="AF2">IF(N2="Remix","Yes",IF(SUM(COUNTIF(N2,{"*Radio/Extended*";"*Radio*";"*Cover*"})),"No",""))</f>
        <v>No</v>
      </c>
      <c r="AG2" t="str">
        <f t="shared" ref="AG2:AG33" si="4">IF(ISTEXT(A2),"**English**","")</f>
        <v>**English**</v>
      </c>
      <c r="AH2" s="27" t="s">
        <v>39</v>
      </c>
      <c r="AI2" t="str">
        <f t="array" ref="AI2">IF(SUM(COUNTIF(H2,{"*Deep*";"*Bass*";"*Slap*"})),"**Deep House**Progressive House**House**",IF(SUM(COUNTIF(H2,{"*Lo-Fi*"})),"**Lo-Fi Hip Hop**Indie &amp; Lo Fi**Lounge**",IF(SUM(COUNTIF(H2,{"*Tech*"})),"**Tech House**Techno**Future House**",IF(SUM(COUNTIF(H2,{"*Indie/Chill Dance*"})),"**Chill Electronic**Indie Dance**Ambient**",IF(SUM(COUNTIF(H2,{"*Piano*"})),"**Progressive House**House**Dance Pop**",IF(SUM(COUNTIF(H2,{"*EDM*"})),"**Progressive House**House**EDM**",IF(H2="","","")))))))</f>
        <v>**Lo-Fi Hip Hop**Indie &amp; Lo Fi**Lounge**</v>
      </c>
      <c r="AJ2" t="str">
        <f t="shared" ref="AJ2:AJ44" si="5">IF(N2="Remix","Remix",IF(N2="Cover","Cover",IF(N2="Radio","Original",IF(N2="Radio/Extended","Original",""))))</f>
        <v>Original</v>
      </c>
      <c r="AK2" t="str">
        <f t="array" ref="AK2">IF(SUM(COUNTIF(H2,{"*Deep*";"*Bass*";"*Slap*"})),"**Tiësto**Imanbek**",IF(SUM(COUNTIF(H2,{"*Lo-Fi*"})),"**L.Dre**Yasumu**",IF(SUM(COUNTIF(H2,{"*Tech*"})),"**Mau P**Gorgon City**",IF(SUM(COUNTIF(H2,{"*Indie/Chill Dance*"})),"**Felix Jaehn**Lost Frequencies**",IF(SUM(COUNTIF(H2,{"*Piano*"})),"**Avicii**Eric Prydz**",IF(SUM(COUNTIF(H2,{"*EDM*"})),"**David Guetta**Swedish House Mafia**",IF(H2="","","")))))))</f>
        <v>**L.Dre**Yasumu**</v>
      </c>
      <c r="AL2" t="str">
        <f t="array" aca="1" ref="AL2" ca="1">+IFERROR(INDEX(INDIRECT((_xlfn.XLOOKUP(H2,map_country[Genre],map_country[country]))),RANK(INDIRECT((_xlfn.XLOOKUP(H2,map_country[Genre],map_country[MIN+1])),FALSE),INDIRECT((_xlfn.XLOOKUP(H2,map_country[Genre],map_country[rand]))),1)),"")</f>
        <v/>
      </c>
      <c r="AM2" t="str">
        <f t="array" ref="AM2">IF(SUM(COUNTIF(H2,{"*Deep*";"*Bass*";"*Slap*"})),"Cool,Upbeat,Dark",IF(SUM(COUNTIF(H2,{"*Lo-Fi*"})),"Sexy,Relaxing,Romantic",IF(SUM(COUNTIF(H2,{"*Tech*"})),"Cool,Upbeat,Dark",IF(SUM(COUNTIF(H2,{"*Indie/Chill Dance*"})),"Cool,Upbeat,Light",IF(SUM(COUNTIF(H2,{"*Piano*"})),"Cool,Upbeat,Light",IF(SUM(COUNTIF(H2,{"*EDM*"})),"Cool,Upbeat,Happy Mood",IF(H2="","","")))))))</f>
        <v>Sexy,Relaxing,Romantic</v>
      </c>
      <c r="AN2" t="str">
        <f t="array" ref="AN2">IF(SUM(COUNTIF(H2,{"*Deep*";"*Bass*";"*Slap*"})),"Hard &amp; Heavy,Chilling Out &amp; Lounging,Happy &amp; Upbeat",IF(SUM(COUNTIF(H2,{"*Lo-Fi*"})),"Work, Study &amp; Reading,Chilling Out &amp; Lounging,Relaxed &amp; Laid Back",IF(SUM(COUNTIF(H2,{"*Tech*"})),"Hard &amp; Heavy,Chilling Out &amp; Lounging,Happy &amp; Upbeat",IF(SUM(COUNTIF(H2,{"*Indie/Chill Dance*"})),"Hard &amp; Heavy,Chilling Out &amp; Lounging,Happy &amp; Upbeat",IF(SUM(COUNTIF(H2,{"*Piano*"})),"Hard &amp; Heavy,Chilling Out &amp; Lounging,Happy &amp; Upbeat",IF(SUM(COUNTIF(H2,{"*EDM*"})),"Hard &amp; Heavy,Chilling Out &amp; Lounging,Happy &amp; Upbeat",IF(H2="","","")))))))</f>
        <v>Work, Study &amp; Reading,Chilling Out &amp; Lounging,Relaxed &amp; Laid Back</v>
      </c>
      <c r="AP2" s="9" t="str">
        <f t="shared" ref="AP2:AP33" si="6">TRIM(SUBSTITUTE(SUBSTITUTE(SUBSTITUTE(A2,"&amp;",","),"feat",","),".",""))</f>
        <v>Lo - Fi Music Rudolph, LOFI gambler</v>
      </c>
      <c r="AQ2" s="9" t="str">
        <f ca="1">IFERROR(_xlfn.TEXTBEFORE(AP2,","),AP2)</f>
        <v>Lo - Fi Music Rudolph, LOFI gambler</v>
      </c>
      <c r="AR2" s="9" t="str">
        <f ca="1">IFERROR(TRIM(SUBSTITUTE(SUBSTITUTE(SUBSTITUTE(SUBSTITUTE(_xlfn.TEXTAFTER(AP2,",",1),AS2,""),AT2,""),AU2,""),",","")),"")</f>
        <v/>
      </c>
      <c r="AS2" s="9" t="str">
        <f ca="1">IFERROR(SUBSTITUTE(SUBSTITUTE(SUBSTITUTE(_xlfn.TEXTAFTER(AP2,",",2),AT2,""),",",""),AU2,""),"")</f>
        <v/>
      </c>
      <c r="AT2" s="9" t="str">
        <f ca="1">IFERROR(SUBSTITUTE(SUBSTITUTE(_xlfn.TEXTAFTER(AP2,",",3),AU2,""),",",""),"")</f>
        <v/>
      </c>
      <c r="AU2" s="9" t="str">
        <f ca="1">IFERROR(_xlfn.TEXTAFTER(AP2,",",4),"")</f>
        <v/>
      </c>
      <c r="AX2" t="s">
        <v>40</v>
      </c>
      <c r="BA2" t="s">
        <v>41</v>
      </c>
      <c r="BB2" t="s">
        <v>7</v>
      </c>
      <c r="BC2" t="s">
        <v>42</v>
      </c>
      <c r="BE2" t="s">
        <v>41</v>
      </c>
      <c r="BF2" t="s">
        <v>7</v>
      </c>
      <c r="BG2" t="s">
        <v>42</v>
      </c>
      <c r="BH2" s="8" t="s">
        <v>43</v>
      </c>
      <c r="BJ2" t="s">
        <v>41</v>
      </c>
      <c r="BK2" t="s">
        <v>7</v>
      </c>
      <c r="BL2" t="s">
        <v>42</v>
      </c>
      <c r="BN2" t="s">
        <v>41</v>
      </c>
      <c r="BO2" t="s">
        <v>7</v>
      </c>
      <c r="BP2" t="s">
        <v>42</v>
      </c>
      <c r="BR2" t="s">
        <v>41</v>
      </c>
      <c r="BS2" t="s">
        <v>7</v>
      </c>
      <c r="BT2" t="s">
        <v>42</v>
      </c>
      <c r="BV2" t="s">
        <v>41</v>
      </c>
      <c r="BW2" t="s">
        <v>7</v>
      </c>
      <c r="BX2" t="s">
        <v>42</v>
      </c>
      <c r="BZ2" t="s">
        <v>41</v>
      </c>
      <c r="CA2" t="s">
        <v>7</v>
      </c>
      <c r="CB2" t="s">
        <v>42</v>
      </c>
    </row>
    <row r="3" spans="1:319" x14ac:dyDescent="0.25">
      <c r="A3" t="s">
        <v>44</v>
      </c>
      <c r="B3" t="s">
        <v>28</v>
      </c>
      <c r="C3" t="s">
        <v>29</v>
      </c>
      <c r="D3" t="s">
        <v>30</v>
      </c>
      <c r="E3" t="s">
        <v>31</v>
      </c>
      <c r="F3">
        <v>5063212512391</v>
      </c>
      <c r="G3" t="s">
        <v>32</v>
      </c>
      <c r="H3" s="7" t="s">
        <v>33</v>
      </c>
      <c r="I3" t="s">
        <v>34</v>
      </c>
      <c r="J3" t="s">
        <v>35</v>
      </c>
      <c r="K3" s="16" t="s">
        <v>36</v>
      </c>
      <c r="L3" t="s">
        <v>37</v>
      </c>
      <c r="M3">
        <v>2</v>
      </c>
      <c r="N3" t="s">
        <v>38</v>
      </c>
      <c r="O3">
        <v>3</v>
      </c>
      <c r="P3" t="str">
        <f t="shared" si="0"/>
        <v>Single</v>
      </c>
      <c r="Q3" t="str">
        <f t="shared" si="1"/>
        <v>Priority</v>
      </c>
      <c r="R3" t="str">
        <f t="shared" si="2"/>
        <v>Single</v>
      </c>
      <c r="S3" t="str">
        <f t="array" ref="S3">IF(SUM(COUNTIF(H3,{"*Deep*";"*Bass*";"*Slap*"})),"Citas:Deep House",IF(SUM(COUNTIF(H3,{"*Lo-Fi*"})),"Citas:Lo-Fi",IF(SUM(COUNTIF(H3,{"*Tech*"})),"Citas:Tech House",IF(SUM(COUNTIF(H3,{"*Indie/Chill Dance*"})),"Citas:Indie/Chill Dance",IF(SUM(COUNTIF(H3,{"*Piano*"})),"Citas:Piano House",IF(SUM(COUNTIF(H3,{"*EDM*"})),"edm dance",IF(H3="","","")))))))</f>
        <v>Citas:Lo-Fi</v>
      </c>
      <c r="T3" t="str">
        <f t="array" ref="T3">IF(SUM(COUNTIF(H3,{"*Deep*";"*Bass*";"*Slap*"})),"energetic",IF(SUM(COUNTIF(H3,{"*Lo-Fi*"})),"calm",IF(SUM(COUNTIF(H3,{"*Tech*"})),"energetic",IF(SUM(COUNTIF(H3,{"*Indie/Chill Dance*"})),"chillout",IF(SUM(COUNTIF(H3,{"*Piano*"})),"energetic",IF(SUM(COUNTIF(H3,{"*EDM*"})),"energetic",IF(H3="","","")))))))</f>
        <v>calm</v>
      </c>
      <c r="U3" t="str">
        <f t="array" ref="U3">IF(SUM(COUNTIF(H3,{"*Tech*";"*EDM*";"*Indie*";"*Deep*";"*Piano*";"*Slap*";"*Brazilian Bass*"})),"Song would perfectly fit in any dance mood playlist! Label will invest up to 5000 EUR advertising on facebook and instagram ads aswell as promoting it over label and label partners playlists, radio stations and press.",IF(SUM(COUNTIF(H3,{"*Lo-Fi*"})),"Song would perfectly fit in any Lo-Fi mood playlist! Label will invest up to 5000 EUR advertising on facebook and instagram ads aswell as promoting it over label and label partners playlists, radio stations and press.",IF(H3="","","")))</f>
        <v>Song would perfectly fit in any Lo-Fi mood playlist! Label will invest up to 5000 EUR advertising on facebook and instagram ads aswell as promoting it over label and label partners playlists, radio stations and press.</v>
      </c>
      <c r="V3" t="str">
        <f t="shared" si="3"/>
        <v>SGL</v>
      </c>
      <c r="W3" t="str">
        <f>IF(L3="Floating Blue Records","Indie &amp; Alternative",IF(L3="Day Dose Of House","Dance &amp; EDM","Dance &amp; EDM"))</f>
        <v>Indie &amp; Alternative</v>
      </c>
      <c r="X3" t="str">
        <f>IF(L3="Floating Blue Records","Instrumental only",IF(L3="Day Dose Of House","Electronic, Dance, Deep House","Instrumental only"))</f>
        <v>Instrumental only</v>
      </c>
      <c r="Y3" t="str">
        <f>IF(L3="Floating Blue Records","Yes","Yes")</f>
        <v>Yes</v>
      </c>
      <c r="Z3" t="str">
        <f t="array" aca="1" ref="Z3" ca="1">+IF(H3="LO-FI","",IFERROR(INDEX(INDIRECT((_xlfn.XLOOKUP(H3,map_location[Genre],map_location[location]))),RANK(INDIRECT((_xlfn.XLOOKUP(H3,map_location[Genre],map_location[min])),FALSE),INDIRECT((_xlfn.XLOOKUP(H3,map_location[Genre],map_location[rand]))),1)),""))</f>
        <v/>
      </c>
      <c r="AA3" t="str">
        <f t="array" ref="AA3">IF(SUM(COUNTIF(H3,{"*Deep*";"*Bass*";"*Slap*"})),"**Deep House**House**Dance**",IF(SUM(COUNTIF(H3,{"*Lo-Fi*"})),"**Lo-Fi Pop**Lo-Fi Beats**Lo-Fi**",IF(SUM(COUNTIF(H3,{"*Tech*"})),"**Deep House**Tech House**Dance**",IF(SUM(COUNTIF(H3,{"*Indie/Chill Dance*"})),"**Indie Dance**Indie Electronic**Dance Pop**",IF(SUM(COUNTIF(H3,{"*Piano*"})),"**House**Electro house**Melodic House**",IF(SUM(COUNTIF(H3,{"*EDM*"})),"**EDM**Electro house**Dance Pop**",IF(H3="","","")))))))</f>
        <v>**Lo-Fi Pop**Lo-Fi Beats**Lo-Fi**</v>
      </c>
      <c r="AB3" t="str">
        <f t="array" ref="AB3">IF(SUM(COUNTIF(H3,{"*Deep*";"*Bass*";"*Slap*"})),"Energetic,Happy",IF(SUM(COUNTIF(H3,{"*Lo-Fi*"})),"Romantic,Chill",IF(SUM(COUNTIF(H3,{"*Tech*"})),"Energetic,Happy",IF(SUM(COUNTIF(H3,{"*Indie/Chill Dance*"})),"Energetic,Chill",IF(SUM(COUNTIF(H3,{"*Piano*"})),"Energetic,Happy",IF(SUM(COUNTIF(H3,{"*EDM*"})),"Energetic,Happy",IF(H3="","","")))))))</f>
        <v>Romantic,Chill</v>
      </c>
      <c r="AC3" t="str">
        <f t="array" ref="AC3">IF(SUM(COUNTIF(H3,{"*Deep*";"*Bass*";"*Slap*"})),"None of these",IF(SUM(COUNTIF(H3,{"*Lo-Fi*"})),"Holiday,Beats",IF(SUM(COUNTIF(H3,{"*Tech*"})),"None of these",IF(SUM(COUNTIF(H3,{"*Indie/Chill Dance*"})),"None of these",IF(SUM(COUNTIF(H3,{"*Piano*"})),"None of these",IF(SUM(COUNTIF(H3,{"*EDM*"})),"None of these",IF(H3="","","")))))))</f>
        <v>Holiday,Beats</v>
      </c>
      <c r="AD3" t="str">
        <f t="array" ref="AD3">IF(SUM(COUNTIF(H3,{"*Deep*";"*Bass*";"*Slap*"})),"Samples,Synthesizer,Bass Guitar,Piano,Drum Kit,Electric Guitar",IF(SUM(COUNTIF(H3,{"*Lo-Fi*"})),"Samples,Synthesizer,Bass Guitar,Piano,Drum Kit,Electric Guitar",IF(SUM(COUNTIF(H3,{"*Tech*"})),"Samples,Synthesizer,Bass Guitar,Piano,Drum Kit,Electric Guitar",IF(SUM(COUNTIF(H3,{"*Indie/Chill Dance*"})),"Samples,Synthesizer,Bass Guitar,Piano,Drum Kit,Electric Guitar",IF(SUM(COUNTIF(H3,{"*Piano*"})),"Samples,Synthesizer,Bass Guitar,Piano,Drum Kit,Electric Guitar",IF(SUM(COUNTIF(H3,{"*EDM*"})),"Samples,Synthesizer,Bass Guitar,Piano,Drum Kit,Electric Guitar",IF(H3="","","")))))))</f>
        <v>Samples,Synthesizer,Bass Guitar,Piano,Drum Kit,Electric Guitar</v>
      </c>
      <c r="AE3" t="str">
        <f t="array" ref="AE3">IF(N3="Cover","Yes",IF(SUM(COUNTIF(N3,{"*Radio/Extended*";"*Radio*";"*Remix*"})),"No",""))</f>
        <v>No</v>
      </c>
      <c r="AF3" t="str">
        <f t="array" ref="AF3">IF(N3="Remix","Yes",IF(SUM(COUNTIF(N3,{"*Radio/Extended*";"*Radio*";"*Cover*"})),"No",""))</f>
        <v>No</v>
      </c>
      <c r="AG3" t="str">
        <f t="shared" si="4"/>
        <v>**English**</v>
      </c>
      <c r="AH3" t="s">
        <v>39</v>
      </c>
      <c r="AI3" t="str">
        <f t="array" ref="AI3">IF(SUM(COUNTIF(H3,{"*Deep*";"*Bass*";"*Slap*"})),"**Deep House**Progressive House**House**",IF(SUM(COUNTIF(H3,{"*Lo-Fi*"})),"**Lo-Fi Hip Hop**Indie &amp; Lo Fi**Lounge**",IF(SUM(COUNTIF(H3,{"*Tech*"})),"**Tech House**Techno**Future House**",IF(SUM(COUNTIF(H3,{"*Indie/Chill Dance*"})),"**Chill Electronic**Indie Dance**Ambient**",IF(SUM(COUNTIF(H3,{"*Piano*"})),"**Progressive House**House**Dance Pop**",IF(SUM(COUNTIF(H3,{"*EDM*"})),"**Progressive House**House**EDM**",IF(H3="","","")))))))</f>
        <v>**Lo-Fi Hip Hop**Indie &amp; Lo Fi**Lounge**</v>
      </c>
      <c r="AJ3" t="str">
        <f t="shared" si="5"/>
        <v>Original</v>
      </c>
      <c r="AK3" t="str">
        <f t="array" ref="AK3">IF(SUM(COUNTIF(H3,{"*Deep*";"*Bass*";"*Slap*"})),"**Tiësto**Imanbek**",IF(SUM(COUNTIF(H3,{"*Lo-Fi*"})),"**L.Dre**Yasumu**",IF(SUM(COUNTIF(H3,{"*Tech*"})),"**Mau P**Gorgon City**",IF(SUM(COUNTIF(H3,{"*Indie/Chill Dance*"})),"**Felix Jaehn**Lost Frequencies**",IF(SUM(COUNTIF(H3,{"*Piano*"})),"**Avicii**Eric Prydz**",IF(SUM(COUNTIF(H3,{"*EDM*"})),"**David Guetta**Swedish House Mafia**",IF(H3="","","")))))))</f>
        <v>**L.Dre**Yasumu**</v>
      </c>
      <c r="AL3" t="str">
        <f t="array" aca="1" ref="AL3" ca="1">+IFERROR(INDEX(INDIRECT((_xlfn.XLOOKUP(H3,map_country[Genre],map_country[country]))),RANK(INDIRECT((_xlfn.XLOOKUP(H3,map_country[Genre],map_country[MIN+1])),FALSE),INDIRECT((_xlfn.XLOOKUP(H3,map_country[Genre],map_country[rand]))),1)),"")</f>
        <v/>
      </c>
      <c r="AM3" t="str">
        <f t="array" ref="AM3">IF(SUM(COUNTIF(H3,{"*Deep*";"*Bass*";"*Slap*"})),"Cool,Upbeat,Dark",IF(SUM(COUNTIF(H3,{"*Lo-Fi*"})),"Sexy,Relaxing,Romantic",IF(SUM(COUNTIF(H3,{"*Tech*"})),"Cool,Upbeat,Dark",IF(SUM(COUNTIF(H3,{"*Indie/Chill Dance*"})),"Cool,Upbeat,Light",IF(SUM(COUNTIF(H3,{"*Piano*"})),"Cool,Upbeat,Light",IF(SUM(COUNTIF(H3,{"*EDM*"})),"Cool,Upbeat,Happy Mood",IF(H3="","","")))))))</f>
        <v>Sexy,Relaxing,Romantic</v>
      </c>
      <c r="AN3" t="str">
        <f t="array" ref="AN3">IF(SUM(COUNTIF(H3,{"*Deep*";"*Bass*";"*Slap*"})),"Hard &amp; Heavy,Chilling Out &amp; Lounging,Happy &amp; Upbeat",IF(SUM(COUNTIF(H3,{"*Lo-Fi*"})),"Work, Study &amp; Reading,Chilling Out &amp; Lounging,Relaxed &amp; Laid Back",IF(SUM(COUNTIF(H3,{"*Tech*"})),"Hard &amp; Heavy,Chilling Out &amp; Lounging,Happy &amp; Upbeat",IF(SUM(COUNTIF(H3,{"*Indie/Chill Dance*"})),"Hard &amp; Heavy,Chilling Out &amp; Lounging,Happy &amp; Upbeat",IF(SUM(COUNTIF(H3,{"*Piano*"})),"Hard &amp; Heavy,Chilling Out &amp; Lounging,Happy &amp; Upbeat",IF(SUM(COUNTIF(H3,{"*EDM*"})),"Hard &amp; Heavy,Chilling Out &amp; Lounging,Happy &amp; Upbeat",IF(H3="","","")))))))</f>
        <v>Work, Study &amp; Reading,Chilling Out &amp; Lounging,Relaxed &amp; Laid Back</v>
      </c>
      <c r="AP3" s="9" t="str">
        <f t="shared" si="6"/>
        <v>Aesthetic Lofi, artist2</v>
      </c>
      <c r="AQ3" s="9" t="str">
        <f ca="1">IFERROR(_xlfn.TEXTBEFORE(AP3,","),AP3)</f>
        <v>Aesthetic Lofi, artist2</v>
      </c>
      <c r="AR3" s="9" t="str">
        <f ca="1">IFERROR(TRIM(SUBSTITUTE(SUBSTITUTE(SUBSTITUTE(SUBSTITUTE(_xlfn.TEXTAFTER(AP3,",",1),AS3,""),AT3,""),AU3,""),",","")),"")</f>
        <v/>
      </c>
      <c r="AS3" s="9" t="str">
        <f ca="1">IFERROR(SUBSTITUTE(SUBSTITUTE(SUBSTITUTE(_xlfn.TEXTAFTER(AP3,",",2),AT3,""),",",""),AU3,""),"")</f>
        <v/>
      </c>
      <c r="AT3" s="9" t="str">
        <f ca="1">IFERROR(SUBSTITUTE(SUBSTITUTE(_xlfn.TEXTAFTER(AP3,",",3),AU3,""),",",""),"")</f>
        <v/>
      </c>
      <c r="AU3" s="9" t="str">
        <f ca="1">IFERROR(_xlfn.TEXTAFTER(AP3,",",4),"")</f>
        <v/>
      </c>
      <c r="AX3" t="s">
        <v>40</v>
      </c>
      <c r="BA3" t="s">
        <v>45</v>
      </c>
      <c r="BB3" t="s">
        <v>46</v>
      </c>
      <c r="BC3">
        <f ca="1">+RAND()</f>
        <v>0.25438978566419279</v>
      </c>
      <c r="BE3" t="s">
        <v>47</v>
      </c>
      <c r="BF3" t="s">
        <v>48</v>
      </c>
      <c r="BG3">
        <f ca="1">+RAND()</f>
        <v>0.28283508793750012</v>
      </c>
      <c r="BH3">
        <f ca="1">+tech[[#This Row],[Rand]]</f>
        <v>0.28283508793750012</v>
      </c>
      <c r="BJ3" t="s">
        <v>49</v>
      </c>
      <c r="BK3" t="s">
        <v>50</v>
      </c>
      <c r="BL3">
        <f ca="1">+RAND()</f>
        <v>3.9872505314885842E-2</v>
      </c>
      <c r="BN3" t="s">
        <v>51</v>
      </c>
      <c r="BO3" t="s">
        <v>52</v>
      </c>
      <c r="BP3">
        <f ca="1">+RAND()</f>
        <v>0.73641170546786927</v>
      </c>
      <c r="BR3" t="s">
        <v>53</v>
      </c>
      <c r="BS3" t="s">
        <v>54</v>
      </c>
      <c r="BT3">
        <f ca="1">+RAND()</f>
        <v>0.69783682390370794</v>
      </c>
      <c r="BV3" t="s">
        <v>55</v>
      </c>
      <c r="BW3" t="s">
        <v>56</v>
      </c>
      <c r="BX3">
        <f ca="1">+RAND()</f>
        <v>0.77439111703011276</v>
      </c>
      <c r="BZ3" t="s">
        <v>53</v>
      </c>
      <c r="CA3" t="s">
        <v>57</v>
      </c>
      <c r="CB3">
        <f ca="1">+RAND()</f>
        <v>0.73287321312729048</v>
      </c>
    </row>
    <row r="4" spans="1:319" x14ac:dyDescent="0.25">
      <c r="A4" t="s">
        <v>58</v>
      </c>
      <c r="B4" t="s">
        <v>59</v>
      </c>
      <c r="C4" t="s">
        <v>29</v>
      </c>
      <c r="D4" t="s">
        <v>30</v>
      </c>
      <c r="E4" t="s">
        <v>31</v>
      </c>
      <c r="F4">
        <v>5063212612718</v>
      </c>
      <c r="G4" t="s">
        <v>60</v>
      </c>
      <c r="H4" s="7" t="s">
        <v>33</v>
      </c>
      <c r="I4" t="s">
        <v>34</v>
      </c>
      <c r="J4" t="s">
        <v>61</v>
      </c>
      <c r="K4" s="16" t="s">
        <v>62</v>
      </c>
      <c r="L4" t="s">
        <v>37</v>
      </c>
      <c r="M4">
        <v>2</v>
      </c>
      <c r="N4" t="s">
        <v>38</v>
      </c>
      <c r="O4">
        <v>3</v>
      </c>
      <c r="P4" t="str">
        <f t="shared" si="0"/>
        <v>Single</v>
      </c>
      <c r="Q4" t="str">
        <f t="shared" si="1"/>
        <v>Priority</v>
      </c>
      <c r="R4" t="str">
        <f t="shared" si="2"/>
        <v>Single</v>
      </c>
      <c r="S4" t="str">
        <f t="array" ref="S4">IF(SUM(COUNTIF(H4,{"*Deep*";"*Bass*";"*Slap*"})),"Citas:Deep House",IF(SUM(COUNTIF(H4,{"*Lo-Fi*"})),"Citas:Lo-Fi",IF(SUM(COUNTIF(H4,{"*Tech*"})),"Citas:Tech House",IF(SUM(COUNTIF(H4,{"*Indie/Chill Dance*"})),"Citas:Indie/Chill Dance",IF(SUM(COUNTIF(H4,{"*Piano*"})),"Citas:Piano House",IF(SUM(COUNTIF(H4,{"*EDM*"})),"edm dance",IF(H4="","","")))))))</f>
        <v>Citas:Lo-Fi</v>
      </c>
      <c r="T4" t="str">
        <f t="array" ref="T4">IF(SUM(COUNTIF(H4,{"*Deep*";"*Bass*";"*Slap*"})),"energetic",IF(SUM(COUNTIF(H4,{"*Lo-Fi*"})),"calm",IF(SUM(COUNTIF(H4,{"*Tech*"})),"energetic",IF(SUM(COUNTIF(H4,{"*Indie/Chill Dance*"})),"chillout",IF(SUM(COUNTIF(H4,{"*Piano*"})),"energetic",IF(SUM(COUNTIF(H4,{"*EDM*"})),"energetic",IF(H4="","","")))))))</f>
        <v>calm</v>
      </c>
      <c r="U4" t="str">
        <f t="array" ref="U4">IF(SUM(COUNTIF(H4,{"*Tech*";"*EDM*";"*Indie*";"*Deep*";"*Piano*";"*Slap*";"*Brazilian Bass*"})),"Song would perfectly fit in any dance mood playlist! Label will invest up to 5000 EUR advertising on facebook and instagram ads aswell as promoting it over label and label partners playlists, radio stations and press.",IF(SUM(COUNTIF(H4,{"*Lo-Fi*"})),"Song would perfectly fit in any Lo-Fi mood playlist! Label will invest up to 5000 EUR advertising on facebook and instagram ads aswell as promoting it over label and label partners playlists, radio stations and press.",IF(H4="","","")))</f>
        <v>Song would perfectly fit in any Lo-Fi mood playlist! Label will invest up to 5000 EUR advertising on facebook and instagram ads aswell as promoting it over label and label partners playlists, radio stations and press.</v>
      </c>
      <c r="V4" t="str">
        <f t="shared" si="3"/>
        <v>SGL</v>
      </c>
      <c r="W4" t="str">
        <f>IF(L4="Floating Blue Records","Indie &amp; Alternative",IF(L4="Day Dose Of House","Dance &amp; EDM","Dance &amp; EDM"))</f>
        <v>Indie &amp; Alternative</v>
      </c>
      <c r="X4" t="str">
        <f>IF(L4="Floating Blue Records","Instrumental only",IF(L4="Day Dose Of House","Electronic, Dance, Deep House","Instrumental only"))</f>
        <v>Instrumental only</v>
      </c>
      <c r="Y4" t="str">
        <f>IF(L4="Floating Blue Records","Yes","Yes")</f>
        <v>Yes</v>
      </c>
      <c r="Z4" t="str">
        <f t="array" aca="1" ref="Z4" ca="1">+IFERROR(INDEX(INDIRECT((_xlfn.XLOOKUP(H4,map_location[Genre],map_location[location]))),RANK(INDIRECT((_xlfn.XLOOKUP(H4,map_location[Genre],map_location[MIN+1])),FALSE),INDIRECT((_xlfn.XLOOKUP(H4,map_location[Genre],map_location[rand]))),1)),"")</f>
        <v/>
      </c>
      <c r="AA4" t="str">
        <f t="array" ref="AA4">IF(SUM(COUNTIF(H4,{"*Deep*";"*Bass*";"*Slap*"})),"**Deep House**House**Dance**",IF(SUM(COUNTIF(H4,{"*Lo-Fi*"})),"**Lo-Fi Pop**Lo-Fi Beats**Lo-Fi**",IF(SUM(COUNTIF(H4,{"*Tech*"})),"**Deep House**Tech House**Dance**",IF(SUM(COUNTIF(H4,{"*Indie/Chill Dance*"})),"**Indie Dance**Indie Electronic**Dance Pop**",IF(SUM(COUNTIF(H4,{"*Piano*"})),"**House**Electro house**Melodic House**",IF(SUM(COUNTIF(H4,{"*EDM*"})),"**EDM**Electro house**Dance Pop**",IF(H4="","","")))))))</f>
        <v>**Lo-Fi Pop**Lo-Fi Beats**Lo-Fi**</v>
      </c>
      <c r="AB4" t="str">
        <f t="array" ref="AB4">IF(SUM(COUNTIF(H4,{"*Deep*";"*Bass*";"*Slap*"})),"Energetic,Happy",IF(SUM(COUNTIF(H4,{"*Lo-Fi*"})),"Romantic,Chill",IF(SUM(COUNTIF(H4,{"*Tech*"})),"Energetic,Happy",IF(SUM(COUNTIF(H4,{"*Indie/Chill Dance*"})),"Energetic,Chill",IF(SUM(COUNTIF(H4,{"*Piano*"})),"Energetic,Happy",IF(SUM(COUNTIF(H4,{"*EDM*"})),"Energetic,Happy",IF(H4="","","")))))))</f>
        <v>Romantic,Chill</v>
      </c>
      <c r="AC4" t="str">
        <f t="array" ref="AC4">IF(SUM(COUNTIF(H4,{"*Deep*";"*Bass*";"*Slap*"})),"None of these",IF(SUM(COUNTIF(H4,{"*Lo-Fi*"})),"Holiday,Beats",IF(SUM(COUNTIF(H4,{"*Tech*"})),"None of these",IF(SUM(COUNTIF(H4,{"*Indie/Chill Dance*"})),"None of these",IF(SUM(COUNTIF(H4,{"*Piano*"})),"None of these",IF(SUM(COUNTIF(H4,{"*EDM*"})),"None of these",IF(H4="","","")))))))</f>
        <v>Holiday,Beats</v>
      </c>
      <c r="AD4" t="str">
        <f t="array" ref="AD4">IF(SUM(COUNTIF(H4,{"*Deep*";"*Bass*";"*Slap*"})),"Samples,Synthesizer,Bass Guitar,Piano,Drum Kit,Electric Guitar",IF(SUM(COUNTIF(H4,{"*Lo-Fi*"})),"Samples,Synthesizer,Bass Guitar,Piano,Drum Kit,Electric Guitar",IF(SUM(COUNTIF(H4,{"*Tech*"})),"Samples,Synthesizer,Bass Guitar,Piano,Drum Kit,Electric Guitar",IF(SUM(COUNTIF(H4,{"*Indie/Chill Dance*"})),"Samples,Synthesizer,Bass Guitar,Piano,Drum Kit,Electric Guitar",IF(SUM(COUNTIF(H4,{"*Piano*"})),"Samples,Synthesizer,Bass Guitar,Piano,Drum Kit,Electric Guitar",IF(SUM(COUNTIF(H4,{"*EDM*"})),"Samples,Synthesizer,Bass Guitar,Piano,Drum Kit,Electric Guitar",IF(H4="","","")))))))</f>
        <v>Samples,Synthesizer,Bass Guitar,Piano,Drum Kit,Electric Guitar</v>
      </c>
      <c r="AE4" t="str">
        <f t="array" ref="AE4">IF(N4="Cover","Yes",IF(SUM(COUNTIF(N4,{"*Radio/Extended*";"*Radio*";"*Remix*"})),"No",""))</f>
        <v>No</v>
      </c>
      <c r="AF4" t="str">
        <f t="array" ref="AF4">IF(N4="Remix","Yes",IF(SUM(COUNTIF(N4,{"*Radio/Extended*";"*Radio*";"*Cover*"})),"No",""))</f>
        <v>No</v>
      </c>
      <c r="AG4" t="str">
        <f t="shared" si="4"/>
        <v>**English**</v>
      </c>
      <c r="AH4" t="s">
        <v>63</v>
      </c>
      <c r="AI4" t="str">
        <f t="array" ref="AI4">IF(SUM(COUNTIF(H4,{"*Deep*";"*Bass*";"*Slap*"})),"**Deep House**Progressive House**House**",IF(SUM(COUNTIF(H4,{"*Lo-Fi*"})),"**Lo-Fi Hip Hop**Indie &amp; Lo Fi**Lounge**",IF(SUM(COUNTIF(H4,{"*Tech*"})),"**Tech House**Techno**Future House**",IF(SUM(COUNTIF(H4,{"*Indie/Chill Dance*"})),"**Chill Electronic**Indie Dance**Ambient**",IF(SUM(COUNTIF(H4,{"*Piano*"})),"**Progressive House**House**Dance Pop**",IF(SUM(COUNTIF(H4,{"*EDM*"})),"**Progressive House**House**EDM**",IF(H4="","","")))))))</f>
        <v>**Lo-Fi Hip Hop**Indie &amp; Lo Fi**Lounge**</v>
      </c>
      <c r="AJ4" t="str">
        <f t="shared" si="5"/>
        <v>Original</v>
      </c>
      <c r="AK4" t="str">
        <f t="array" ref="AK4">IF(SUM(COUNTIF(H4,{"*Deep*";"*Bass*";"*Slap*"})),"**Tiësto**Imanbek**",IF(SUM(COUNTIF(H4,{"*Lo-Fi*"})),"**L.Dre**Yasumu**",IF(SUM(COUNTIF(H4,{"*Tech*"})),"**Mau P**Gorgon City**",IF(SUM(COUNTIF(H4,{"*Indie/Chill Dance*"})),"**Felix Jaehn**Lost Frequencies**",IF(SUM(COUNTIF(H4,{"*Piano*"})),"**Avicii**Eric Prydz**",IF(SUM(COUNTIF(H4,{"*EDM*"})),"**David Guetta**Swedish House Mafia**",IF(H4="","","")))))))</f>
        <v>**L.Dre**Yasumu**</v>
      </c>
      <c r="AL4" t="str">
        <f t="array" aca="1" ref="AL4" ca="1">+IFERROR(INDEX(INDIRECT((_xlfn.XLOOKUP(H4,map_country[Genre],map_country[country]))),RANK(INDIRECT((_xlfn.XLOOKUP(H4,map_country[Genre],map_country[MIN+1])),FALSE),INDIRECT((_xlfn.XLOOKUP(H4,map_country[Genre],map_country[rand]))),1)),"")</f>
        <v/>
      </c>
      <c r="AM4" t="str">
        <f t="array" ref="AM4">IF(SUM(COUNTIF(H4,{"*Deep*";"*Bass*";"*Slap*"})),"Cool,Upbeat,Dark",IF(SUM(COUNTIF(H4,{"*Lo-Fi*"})),"Sexy,Relaxing,Romantic",IF(SUM(COUNTIF(H4,{"*Tech*"})),"Cool,Upbeat,Dark",IF(SUM(COUNTIF(H4,{"*Indie/Chill Dance*"})),"Cool,Upbeat,Light",IF(SUM(COUNTIF(H4,{"*Piano*"})),"Cool,Upbeat,Light",IF(SUM(COUNTIF(H4,{"*EDM*"})),"Cool,Upbeat,Happy Mood",IF(H4="","","")))))))</f>
        <v>Sexy,Relaxing,Romantic</v>
      </c>
      <c r="AN4" t="str">
        <f t="array" ref="AN4">IF(SUM(COUNTIF(H4,{"*Deep*";"*Bass*";"*Slap*"})),"Hard &amp; Heavy,Chilling Out &amp; Lounging,Happy &amp; Upbeat",IF(SUM(COUNTIF(H4,{"*Lo-Fi*"})),"Work, Study &amp; Reading,Chilling Out &amp; Lounging,Relaxed &amp; Laid Back",IF(SUM(COUNTIF(H4,{"*Tech*"})),"Hard &amp; Heavy,Chilling Out &amp; Lounging,Happy &amp; Upbeat",IF(SUM(COUNTIF(H4,{"*Indie/Chill Dance*"})),"Hard &amp; Heavy,Chilling Out &amp; Lounging,Happy &amp; Upbeat",IF(SUM(COUNTIF(H4,{"*Piano*"})),"Hard &amp; Heavy,Chilling Out &amp; Lounging,Happy &amp; Upbeat",IF(SUM(COUNTIF(H4,{"*EDM*"})),"Hard &amp; Heavy,Chilling Out &amp; Lounging,Happy &amp; Upbeat",IF(H4="","","")))))))</f>
        <v>Work, Study &amp; Reading,Chilling Out &amp; Lounging,Relaxed &amp; Laid Back</v>
      </c>
      <c r="AP4" s="9" t="str">
        <f t="shared" si="6"/>
        <v>LOFI Gambler, artist2, artist3</v>
      </c>
      <c r="AQ4" s="9" t="str">
        <f ca="1">IFERROR(_xlfn.TEXTBEFORE(AP4,","),AP4)</f>
        <v>LOFI Gambler, artist2, artist3</v>
      </c>
      <c r="AR4" s="9" t="str">
        <f ca="1">IFERROR(TRIM(SUBSTITUTE(SUBSTITUTE(SUBSTITUTE(SUBSTITUTE(_xlfn.TEXTAFTER(AP4,",",1),AS4,""),AT4,""),AU4,""),",","")),"")</f>
        <v/>
      </c>
      <c r="AS4" s="9" t="str">
        <f ca="1">IFERROR(SUBSTITUTE(SUBSTITUTE(SUBSTITUTE(_xlfn.TEXTAFTER(AP4,",",2),AT4,""),",",""),AU4,""),"")</f>
        <v/>
      </c>
      <c r="AT4" s="9" t="str">
        <f ca="1">IFERROR(SUBSTITUTE(SUBSTITUTE(_xlfn.TEXTAFTER(AP4,",",3),AU4,""),",",""),"")</f>
        <v/>
      </c>
      <c r="AU4" s="9" t="str">
        <f ca="1">IFERROR(_xlfn.TEXTAFTER(AP4,",",4),"")</f>
        <v/>
      </c>
      <c r="AX4" t="s">
        <v>40</v>
      </c>
      <c r="BA4" t="s">
        <v>64</v>
      </c>
      <c r="BB4" t="s">
        <v>46</v>
      </c>
      <c r="BC4">
        <f ca="1">+RAND()</f>
        <v>0.32278447649239161</v>
      </c>
      <c r="BE4" t="s">
        <v>65</v>
      </c>
      <c r="BF4" t="s">
        <v>48</v>
      </c>
      <c r="BG4">
        <f ca="1">+RAND()</f>
        <v>0.83211344027935075</v>
      </c>
      <c r="BH4">
        <f ca="1">+tech[[#This Row],[Rand]]</f>
        <v>0.83211344027935075</v>
      </c>
      <c r="BJ4" t="s">
        <v>66</v>
      </c>
      <c r="BK4" t="s">
        <v>50</v>
      </c>
      <c r="BL4">
        <f ca="1">+RAND()</f>
        <v>0.96543615202547317</v>
      </c>
      <c r="BN4" t="s">
        <v>67</v>
      </c>
      <c r="BO4" t="s">
        <v>52</v>
      </c>
      <c r="BP4">
        <f ca="1">+RAND()</f>
        <v>0.54382910719573807</v>
      </c>
      <c r="BR4" t="s">
        <v>45</v>
      </c>
      <c r="BS4" t="s">
        <v>54</v>
      </c>
      <c r="BT4">
        <f ca="1">+RAND()</f>
        <v>0.17862116653997229</v>
      </c>
      <c r="BV4" t="s">
        <v>68</v>
      </c>
      <c r="BW4" t="s">
        <v>56</v>
      </c>
      <c r="BX4">
        <f ca="1">+RAND()</f>
        <v>0.49251664472475021</v>
      </c>
      <c r="BZ4" t="s">
        <v>45</v>
      </c>
      <c r="CA4" t="s">
        <v>57</v>
      </c>
      <c r="CB4">
        <f ca="1">+RAND()</f>
        <v>0.7692314065472472</v>
      </c>
    </row>
    <row r="5" spans="1:319" x14ac:dyDescent="0.25">
      <c r="A5" t="s">
        <v>69</v>
      </c>
      <c r="B5" t="s">
        <v>59</v>
      </c>
      <c r="C5" t="s">
        <v>29</v>
      </c>
      <c r="D5" t="s">
        <v>30</v>
      </c>
      <c r="E5" t="s">
        <v>31</v>
      </c>
      <c r="F5">
        <v>5063212612718</v>
      </c>
      <c r="G5" t="s">
        <v>60</v>
      </c>
      <c r="H5" s="7" t="s">
        <v>33</v>
      </c>
      <c r="I5" t="s">
        <v>34</v>
      </c>
      <c r="J5" t="s">
        <v>61</v>
      </c>
      <c r="K5" s="16" t="s">
        <v>62</v>
      </c>
      <c r="L5" t="s">
        <v>37</v>
      </c>
      <c r="M5">
        <v>2</v>
      </c>
      <c r="N5" t="s">
        <v>38</v>
      </c>
      <c r="O5">
        <v>3</v>
      </c>
      <c r="P5" t="str">
        <f t="shared" si="0"/>
        <v>Single</v>
      </c>
      <c r="Q5" t="str">
        <f t="shared" si="1"/>
        <v>Priority</v>
      </c>
      <c r="R5" t="str">
        <f t="shared" si="2"/>
        <v>Single</v>
      </c>
      <c r="S5" t="str">
        <f t="array" ref="S5">IF(SUM(COUNTIF(H5,{"*Deep*";"*Bass*";"*Slap*"})),"Citas:Deep House",IF(SUM(COUNTIF(H5,{"*Lo-Fi*"})),"Citas:Lo-Fi",IF(SUM(COUNTIF(H5,{"*Tech*"})),"Citas:Tech House",IF(SUM(COUNTIF(H5,{"*Indie/Chill Dance*"})),"Citas:Indie/Chill Dance",IF(SUM(COUNTIF(H5,{"*Piano*"})),"Citas:Piano House",IF(SUM(COUNTIF(H5,{"*EDM*"})),"edm dance",IF(H5="","","")))))))</f>
        <v>Citas:Lo-Fi</v>
      </c>
      <c r="T5" t="str">
        <f t="array" ref="T5">IF(SUM(COUNTIF(H5,{"*Deep*";"*Bass*";"*Slap*"})),"energetic",IF(SUM(COUNTIF(H5,{"*Lo-Fi*"})),"calm",IF(SUM(COUNTIF(H5,{"*Tech*"})),"energetic",IF(SUM(COUNTIF(H5,{"*Indie/Chill Dance*"})),"chillout",IF(SUM(COUNTIF(H5,{"*Piano*"})),"energetic",IF(SUM(COUNTIF(H5,{"*EDM*"})),"energetic",IF(H5="","","")))))))</f>
        <v>calm</v>
      </c>
      <c r="U5" t="str">
        <f t="array" ref="U5">IF(SUM(COUNTIF(H5,{"*Tech*";"*EDM*";"*Indie*";"*Deep*";"*Piano*";"*Slap*";"*Brazilian Bass*"})),"Song would perfectly fit in any dance mood playlist! Label will invest up to 5000 EUR advertising on facebook and instagram ads aswell as promoting it over label and label partners playlists, radio stations and press.",IF(SUM(COUNTIF(H5,{"*Lo-Fi*"})),"Song would perfectly fit in any Lo-Fi mood playlist! Label will invest up to 5000 EUR advertising on facebook and instagram ads aswell as promoting it over label and label partners playlists, radio stations and press.",IF(H5="","","")))</f>
        <v>Song would perfectly fit in any Lo-Fi mood playlist! Label will invest up to 5000 EUR advertising on facebook and instagram ads aswell as promoting it over label and label partners playlists, radio stations and press.</v>
      </c>
      <c r="V5" t="str">
        <f t="shared" si="3"/>
        <v>SGL</v>
      </c>
      <c r="W5" t="str">
        <f>IF(L5="Floating Blue Records","Indie &amp; Alternative",IF(L5="Day Dose Of House","Dance &amp; EDM","Dance &amp; EDM"))</f>
        <v>Indie &amp; Alternative</v>
      </c>
      <c r="X5" t="str">
        <f>IF(L5="Floating Blue Records","Instrumental only",IF(L5="Day Dose Of House","Electronic, Dance, Deep House","Instrumental only"))</f>
        <v>Instrumental only</v>
      </c>
      <c r="Y5" t="str">
        <f>IF(L5="Floating Blue Records","Yes","Yes")</f>
        <v>Yes</v>
      </c>
      <c r="Z5" t="str">
        <f t="array" aca="1" ref="Z5" ca="1">+IFERROR(INDEX(INDIRECT((_xlfn.XLOOKUP(H5,map_location[Genre],map_location[location]))),RANK(INDIRECT((_xlfn.XLOOKUP(H5,map_location[Genre],map_location[MIN+1])),FALSE),INDIRECT((_xlfn.XLOOKUP(H5,map_location[Genre],map_location[rand]))),1)),"")</f>
        <v/>
      </c>
      <c r="AA5" t="str">
        <f t="array" ref="AA5">IF(SUM(COUNTIF(H5,{"*Deep*";"*Bass*";"*Slap*"})),"**Deep House**House**Dance**",IF(SUM(COUNTIF(H5,{"*Lo-Fi*"})),"**Lo-Fi Pop**Lo-Fi Beats**Lo-Fi**",IF(SUM(COUNTIF(H5,{"*Tech*"})),"**Deep House**Tech House**Dance**",IF(SUM(COUNTIF(H5,{"*Indie/Chill Dance*"})),"**Indie Dance**Indie Electronic**Dance Pop**",IF(SUM(COUNTIF(H5,{"*Piano*"})),"**House**Electro house**Melodic House**",IF(SUM(COUNTIF(H5,{"*EDM*"})),"**EDM**Electro house**Dance Pop**",IF(H5="","","")))))))</f>
        <v>**Lo-Fi Pop**Lo-Fi Beats**Lo-Fi**</v>
      </c>
      <c r="AB5" t="str">
        <f t="array" ref="AB5">IF(SUM(COUNTIF(H5,{"*Deep*";"*Bass*";"*Slap*"})),"Energetic,Happy",IF(SUM(COUNTIF(H5,{"*Lo-Fi*"})),"Romantic,Chill",IF(SUM(COUNTIF(H5,{"*Tech*"})),"Energetic,Happy",IF(SUM(COUNTIF(H5,{"*Indie/Chill Dance*"})),"Energetic,Chill",IF(SUM(COUNTIF(H5,{"*Piano*"})),"Energetic,Happy",IF(SUM(COUNTIF(H5,{"*EDM*"})),"Energetic,Happy",IF(H5="","","")))))))</f>
        <v>Romantic,Chill</v>
      </c>
      <c r="AC5" t="str">
        <f t="array" ref="AC5">IF(SUM(COUNTIF(H5,{"*Deep*";"*Bass*";"*Slap*"})),"None of these",IF(SUM(COUNTIF(H5,{"*Lo-Fi*"})),"Holiday,Beats",IF(SUM(COUNTIF(H5,{"*Tech*"})),"None of these",IF(SUM(COUNTIF(H5,{"*Indie/Chill Dance*"})),"None of these",IF(SUM(COUNTIF(H5,{"*Piano*"})),"None of these",IF(SUM(COUNTIF(H5,{"*EDM*"})),"None of these",IF(H5="","","")))))))</f>
        <v>Holiday,Beats</v>
      </c>
      <c r="AD5" t="str">
        <f t="array" ref="AD5">IF(SUM(COUNTIF(H5,{"*Deep*";"*Bass*";"*Slap*"})),"Samples,Synthesizer,Bass Guitar,Piano,Drum Kit,Electric Guitar",IF(SUM(COUNTIF(H5,{"*Lo-Fi*"})),"Samples,Synthesizer,Bass Guitar,Piano,Drum Kit,Electric Guitar",IF(SUM(COUNTIF(H5,{"*Tech*"})),"Samples,Synthesizer,Bass Guitar,Piano,Drum Kit,Electric Guitar",IF(SUM(COUNTIF(H5,{"*Indie/Chill Dance*"})),"Samples,Synthesizer,Bass Guitar,Piano,Drum Kit,Electric Guitar",IF(SUM(COUNTIF(H5,{"*Piano*"})),"Samples,Synthesizer,Bass Guitar,Piano,Drum Kit,Electric Guitar",IF(SUM(COUNTIF(H5,{"*EDM*"})),"Samples,Synthesizer,Bass Guitar,Piano,Drum Kit,Electric Guitar",IF(H5="","","")))))))</f>
        <v>Samples,Synthesizer,Bass Guitar,Piano,Drum Kit,Electric Guitar</v>
      </c>
      <c r="AE5" t="str">
        <f t="array" ref="AE5">IF(N5="Cover","Yes",IF(SUM(COUNTIF(N5,{"*Radio/Extended*";"*Radio*";"*Remix*"})),"No",""))</f>
        <v>No</v>
      </c>
      <c r="AF5" t="str">
        <f t="array" ref="AF5">IF(N5="Remix","Yes",IF(SUM(COUNTIF(N5,{"*Radio/Extended*";"*Radio*";"*Cover*"})),"No",""))</f>
        <v>No</v>
      </c>
      <c r="AG5" t="str">
        <f t="shared" si="4"/>
        <v>**English**</v>
      </c>
      <c r="AH5" t="s">
        <v>63</v>
      </c>
      <c r="AI5" t="str">
        <f t="array" ref="AI5">IF(SUM(COUNTIF(H5,{"*Deep*";"*Bass*";"*Slap*"})),"**Deep House**Progressive House**House**",IF(SUM(COUNTIF(H5,{"*Lo-Fi*"})),"**Lo-Fi Hip Hop**Indie &amp; Lo Fi**Lounge**",IF(SUM(COUNTIF(H5,{"*Tech*"})),"**Tech House**Techno**Future House**",IF(SUM(COUNTIF(H5,{"*Indie/Chill Dance*"})),"**Chill Electronic**Indie Dance**Ambient**",IF(SUM(COUNTIF(H5,{"*Piano*"})),"**Progressive House**House**Dance Pop**",IF(SUM(COUNTIF(H5,{"*EDM*"})),"**Progressive House**House**EDM**",IF(H5="","","")))))))</f>
        <v>**Lo-Fi Hip Hop**Indie &amp; Lo Fi**Lounge**</v>
      </c>
      <c r="AJ5" t="str">
        <f t="shared" si="5"/>
        <v>Original</v>
      </c>
      <c r="AK5" t="str">
        <f t="array" ref="AK5">IF(SUM(COUNTIF(H5,{"*Deep*";"*Bass*";"*Slap*"})),"**Tiësto**Imanbek**",IF(SUM(COUNTIF(H5,{"*Lo-Fi*"})),"**L.Dre**Yasumu**",IF(SUM(COUNTIF(H5,{"*Tech*"})),"**Mau P**Gorgon City**",IF(SUM(COUNTIF(H5,{"*Indie/Chill Dance*"})),"**Felix Jaehn**Lost Frequencies**",IF(SUM(COUNTIF(H5,{"*Piano*"})),"**Avicii**Eric Prydz**",IF(SUM(COUNTIF(H5,{"*EDM*"})),"**David Guetta**Swedish House Mafia**",IF(H5="","","")))))))</f>
        <v>**L.Dre**Yasumu**</v>
      </c>
      <c r="AL5" t="str">
        <f t="array" aca="1" ref="AL5" ca="1">+IFERROR(INDEX(INDIRECT((_xlfn.XLOOKUP(H5,map_country[Genre],map_country[country]))),RANK(INDIRECT((_xlfn.XLOOKUP(H5,map_country[Genre],map_country[MIN+1])),FALSE),INDIRECT((_xlfn.XLOOKUP(H5,map_country[Genre],map_country[rand]))),1)),"")</f>
        <v/>
      </c>
      <c r="AM5" t="str">
        <f t="array" ref="AM5">IF(SUM(COUNTIF(H5,{"*Deep*";"*Bass*";"*Slap*"})),"Cool,Upbeat,Dark",IF(SUM(COUNTIF(H5,{"*Lo-Fi*"})),"Sexy,Relaxing,Romantic",IF(SUM(COUNTIF(H5,{"*Tech*"})),"Cool,Upbeat,Dark",IF(SUM(COUNTIF(H5,{"*Indie/Chill Dance*"})),"Cool,Upbeat,Light",IF(SUM(COUNTIF(H5,{"*Piano*"})),"Cool,Upbeat,Light",IF(SUM(COUNTIF(H5,{"*EDM*"})),"Cool,Upbeat,Happy Mood",IF(H5="","","")))))))</f>
        <v>Sexy,Relaxing,Romantic</v>
      </c>
      <c r="AN5" t="str">
        <f t="array" ref="AN5">IF(SUM(COUNTIF(H5,{"*Deep*";"*Bass*";"*Slap*"})),"Hard &amp; Heavy,Chilling Out &amp; Lounging,Happy &amp; Upbeat",IF(SUM(COUNTIF(H5,{"*Lo-Fi*"})),"Work, Study &amp; Reading,Chilling Out &amp; Lounging,Relaxed &amp; Laid Back",IF(SUM(COUNTIF(H5,{"*Tech*"})),"Hard &amp; Heavy,Chilling Out &amp; Lounging,Happy &amp; Upbeat",IF(SUM(COUNTIF(H5,{"*Indie/Chill Dance*"})),"Hard &amp; Heavy,Chilling Out &amp; Lounging,Happy &amp; Upbeat",IF(SUM(COUNTIF(H5,{"*Piano*"})),"Hard &amp; Heavy,Chilling Out &amp; Lounging,Happy &amp; Upbeat",IF(SUM(COUNTIF(H5,{"*EDM*"})),"Hard &amp; Heavy,Chilling Out &amp; Lounging,Happy &amp; Upbeat",IF(H5="","","")))))))</f>
        <v>Work, Study &amp; Reading,Chilling Out &amp; Lounging,Relaxed &amp; Laid Back</v>
      </c>
      <c r="AP5" s="9" t="str">
        <f t="shared" si="6"/>
        <v>Lofi Best Music</v>
      </c>
      <c r="AQ5" s="9" t="str">
        <f ca="1">IFERROR(_xlfn.TEXTBEFORE(AP5,","),AP5)</f>
        <v>Lofi Best Music</v>
      </c>
      <c r="AR5" s="9" t="str">
        <f ca="1">IFERROR(TRIM(SUBSTITUTE(SUBSTITUTE(SUBSTITUTE(SUBSTITUTE(_xlfn.TEXTAFTER(AP5,",",1),AS5,""),AT5,""),AU5,""),",","")),"")</f>
        <v/>
      </c>
      <c r="AS5" s="9" t="str">
        <f ca="1">IFERROR(SUBSTITUTE(SUBSTITUTE(SUBSTITUTE(_xlfn.TEXTAFTER(AP5,",",2),AT5,""),",",""),AU5,""),"")</f>
        <v/>
      </c>
      <c r="AT5" s="9" t="str">
        <f ca="1">IFERROR(SUBSTITUTE(SUBSTITUTE(_xlfn.TEXTAFTER(AP5,",",3),AU5,""),",",""),"")</f>
        <v/>
      </c>
      <c r="AU5" s="9" t="str">
        <f ca="1">IFERROR(_xlfn.TEXTAFTER(AP5,",",4),"")</f>
        <v/>
      </c>
      <c r="AX5" t="s">
        <v>40</v>
      </c>
      <c r="BA5" t="s">
        <v>70</v>
      </c>
      <c r="BB5" t="s">
        <v>46</v>
      </c>
      <c r="BC5">
        <f ca="1">+RAND()</f>
        <v>0.24419203173996273</v>
      </c>
      <c r="BE5" t="s">
        <v>53</v>
      </c>
      <c r="BF5" t="s">
        <v>48</v>
      </c>
      <c r="BG5">
        <f ca="1">+RAND()</f>
        <v>0.2948101925234502</v>
      </c>
      <c r="BH5">
        <f ca="1">+tech[[#This Row],[Rand]]</f>
        <v>0.2948101925234502</v>
      </c>
      <c r="BJ5" t="s">
        <v>71</v>
      </c>
      <c r="BK5" t="s">
        <v>50</v>
      </c>
      <c r="BL5">
        <f ca="1">+RAND()</f>
        <v>0.63982719554370582</v>
      </c>
      <c r="BN5" t="s">
        <v>72</v>
      </c>
      <c r="BO5" t="s">
        <v>52</v>
      </c>
      <c r="BP5">
        <f ca="1">+RAND()</f>
        <v>9.3656084157704766E-2</v>
      </c>
      <c r="BR5" t="s">
        <v>73</v>
      </c>
      <c r="BS5" t="s">
        <v>54</v>
      </c>
      <c r="BT5">
        <f ca="1">+RAND()</f>
        <v>0.67535054334525613</v>
      </c>
      <c r="BV5" t="s">
        <v>53</v>
      </c>
      <c r="BW5" t="s">
        <v>56</v>
      </c>
      <c r="BX5">
        <f ca="1">+RAND()</f>
        <v>0.93456817086698241</v>
      </c>
      <c r="BZ5" t="s">
        <v>73</v>
      </c>
      <c r="CA5" t="s">
        <v>57</v>
      </c>
      <c r="CB5">
        <f ca="1">+RAND()</f>
        <v>0.83755412667532447</v>
      </c>
    </row>
    <row r="6" spans="1:319" x14ac:dyDescent="0.25">
      <c r="A6" t="s">
        <v>74</v>
      </c>
      <c r="B6" t="s">
        <v>75</v>
      </c>
      <c r="C6" t="s">
        <v>29</v>
      </c>
      <c r="D6" t="s">
        <v>30</v>
      </c>
      <c r="E6" t="s">
        <v>31</v>
      </c>
      <c r="F6" s="15">
        <v>5063212166082</v>
      </c>
      <c r="G6" t="s">
        <v>76</v>
      </c>
      <c r="H6" t="s">
        <v>33</v>
      </c>
      <c r="I6" t="s">
        <v>34</v>
      </c>
      <c r="J6" t="s">
        <v>77</v>
      </c>
      <c r="K6" t="s">
        <v>78</v>
      </c>
      <c r="L6" t="s">
        <v>37</v>
      </c>
      <c r="M6">
        <v>2</v>
      </c>
      <c r="N6" t="s">
        <v>38</v>
      </c>
      <c r="O6">
        <v>3</v>
      </c>
      <c r="P6" t="str">
        <f t="shared" si="0"/>
        <v>Single</v>
      </c>
      <c r="Q6" t="str">
        <f t="shared" si="1"/>
        <v>Priority</v>
      </c>
      <c r="R6" t="str">
        <f t="shared" si="2"/>
        <v>Single</v>
      </c>
      <c r="S6" t="str">
        <f t="array" ref="S6">IF(SUM(COUNTIF(H6,{"*Deep*";"*Bass*";"*Slap*"})),"Other:Deep House",IF(SUM(COUNTIF(H6,{"*Lo-Fi*"})),"Other:Lo-Fi",IF(SUM(COUNTIF(H6,{"*Tech*"})),"Other:Tech House",IF(SUM(COUNTIF(H6,{"*Indie/Chill Dance*"})),"Other:Indie/Chill Dance",IF(SUM(COUNTIF(H6,{"*Piano*"})),"Other:Piano House",IF(SUM(COUNTIF(H6,{"*EDM*"})),"edm dance",IF(H6="","","")))))))</f>
        <v>Other:Lo-Fi</v>
      </c>
      <c r="T6" t="str">
        <f t="array" ref="T6">IF(SUM(COUNTIF(H6,{"*Deep*";"*Bass*";"*Slap*"})),"energetic",IF(SUM(COUNTIF(H6,{"*Lo-Fi*"})),"calm",IF(SUM(COUNTIF(H6,{"*Tech*"})),"energetic",IF(SUM(COUNTIF(H6,{"*Indie/Chill Dance*"})),"chillout",IF(SUM(COUNTIF(H6,{"*Piano*"})),"energetic",IF(SUM(COUNTIF(H6,{"*EDM*"})),"energetic",IF(H6="","","")))))))</f>
        <v>calm</v>
      </c>
      <c r="U6" t="str">
        <f t="array" ref="U6">IF(SUM(COUNTIF(H6,{"*Tech*";"*EDM*";"*Indie*";"*Deep*";"*Piano*";"*Slap*";"*Brazilian Bass*"})),"Song would perfectly fit in any dance mood playlist! Label will invest up to 5000 EUR advertising on facebook and instagram ads aswell as promoting it over label and label partners playlists, radio stations and press.",IF(SUM(COUNTIF(H6,{"*Lo-Fi*"})),"Song would perfectly fit in any Lo-Fi mood playlist! Label will invest up to 5000 EUR advertising on facebook and instagram ads aswell as promoting it over label and label partners playlists, radio stations and press.",IF(H6="","","")))</f>
        <v>Song would perfectly fit in any Lo-Fi mood playlist! Label will invest up to 5000 EUR advertising on facebook and instagram ads aswell as promoting it over label and label partners playlists, radio stations and press.</v>
      </c>
      <c r="V6" t="str">
        <f t="shared" si="3"/>
        <v>SGL</v>
      </c>
      <c r="W6" t="str">
        <f t="shared" ref="W6:W48" si="7">IF(L6="Floating Blue Records","Indie &amp; Alternative",IF(L6="Day Dose Of House","Dance &amp; EDM",""))</f>
        <v>Indie &amp; Alternative</v>
      </c>
      <c r="X6" t="str">
        <f t="shared" ref="X6:X37" si="8">IF(L6="Floating Blue Records","Instrumental only",IF(L6="Day Dose Of House","Electronic, Dance, Deep House",""))</f>
        <v>Instrumental only</v>
      </c>
      <c r="Y6" t="str">
        <f t="shared" ref="Y6:Y12" si="9">IF(L6="Floating Blue Records","Yes","No")</f>
        <v>Yes</v>
      </c>
      <c r="Z6" t="str">
        <f t="array" aca="1" ref="Z6" ca="1">+IF(H6="LO-FI","",IFERROR(INDEX(INDIRECT((_xlfn.XLOOKUP(H6,map_location[Genre],map_location[location]))),RANK(INDIRECT((_xlfn.XLOOKUP(H6,map_location[Genre],map_location[min])),FALSE),INDIRECT((_xlfn.XLOOKUP(H6,map_location[Genre],map_location[rand]))),1)),""))</f>
        <v/>
      </c>
      <c r="AA6" t="str">
        <f t="array" ref="AA6">IF(SUM(COUNTIF(H6,{"*Deep*";"*Bass*";"*Slap*"})),"**Deep House**House**Dance**",IF(SUM(COUNTIF(H6,{"*Lo-Fi*"})),"**Lo-Fi Pop**Lo-Fi Beats**Lo-Fi**",IF(SUM(COUNTIF(H6,{"*Tech*"})),"**Deep House**Tech House**Dance**",IF(SUM(COUNTIF(H6,{"*Indie/Chill Dance*"})),"**Indie Dance**Indie Electronic**Dance Pop**",IF(SUM(COUNTIF(H6,{"*Piano*"})),"**House**Electro house**Melodic House**",IF(SUM(COUNTIF(H6,{"*EDM*"})),"**EDM**Electro house**Dance Pop**",IF(H6="","","")))))))</f>
        <v>**Lo-Fi Pop**Lo-Fi Beats**Lo-Fi**</v>
      </c>
      <c r="AB6" t="str">
        <f t="array" ref="AB6">IF(SUM(COUNTIF(H6,{"*Deep*";"*Bass*";"*Slap*"})),"Energetic,Happy",IF(SUM(COUNTIF(H6,{"*Lo-Fi*"})),"Romantic,Chill",IF(SUM(COUNTIF(H6,{"*Tech*"})),"Energetic,Happy",IF(SUM(COUNTIF(H6,{"*Indie/Chill Dance*"})),"Energetic,Chill",IF(SUM(COUNTIF(H6,{"*Piano*"})),"Energetic,Happy",IF(SUM(COUNTIF(H6,{"*EDM*"})),"Energetic,Happy",IF(H6="","","")))))))</f>
        <v>Romantic,Chill</v>
      </c>
      <c r="AC6" t="str">
        <f t="array" ref="AC6">IF(SUM(COUNTIF(H6,{"*Deep*";"*Bass*";"*Slap*"})),"None of these",IF(SUM(COUNTIF(H6,{"*Lo-Fi*"})),"Holiday,Beats",IF(SUM(COUNTIF(H6,{"*Tech*"})),"None of these",IF(SUM(COUNTIF(H6,{"*Indie/Chill Dance*"})),"None of these",IF(SUM(COUNTIF(H6,{"*Piano*"})),"None of these",IF(SUM(COUNTIF(H6,{"*EDM*"})),"None of these",IF(H6="","","")))))))</f>
        <v>Holiday,Beats</v>
      </c>
      <c r="AD6" t="str">
        <f t="array" ref="AD6">IF(SUM(COUNTIF(H6,{"*Deep*";"*Bass*";"*Slap*"})),"Samples,Synthesizer,Bass Guitar,Piano,Drum Kit,Electric Guitar",IF(SUM(COUNTIF(H6,{"*Lo-Fi*"})),"Samples,Synthesizer,Bass Guitar,Piano,Drum Kit,Electric Guitar",IF(SUM(COUNTIF(H6,{"*Tech*"})),"Samples,Synthesizer,Bass Guitar,Piano,Drum Kit,Electric Guitar",IF(SUM(COUNTIF(H6,{"*Indie/Chill Dance*"})),"Samples,Synthesizer,Bass Guitar,Piano,Drum Kit,Electric Guitar",IF(SUM(COUNTIF(H6,{"*Piano*"})),"Samples,Synthesizer,Bass Guitar,Piano,Drum Kit,Electric Guitar",IF(SUM(COUNTIF(H6,{"*EDM*"})),"Samples,Synthesizer,Bass Guitar,Piano,Drum Kit,Electric Guitar",IF(H6="","","")))))))</f>
        <v>Samples,Synthesizer,Bass Guitar,Piano,Drum Kit,Electric Guitar</v>
      </c>
      <c r="AE6" t="str">
        <f t="array" ref="AE6">IF(N6="Cover","Yes",IF(SUM(COUNTIF(N6,{"*Radio/Extended*";"*Radio*";"*Remix*"})),"No",""))</f>
        <v>No</v>
      </c>
      <c r="AF6" t="str">
        <f t="array" ref="AF6">IF(N6="Remix","Yes",IF(SUM(COUNTIF(N6,{"*Radio/Extended*";"*Radio*";"*Cover*"})),"No",""))</f>
        <v>No</v>
      </c>
      <c r="AG6" t="str">
        <f t="shared" si="4"/>
        <v>**English**</v>
      </c>
      <c r="AH6" t="s">
        <v>175</v>
      </c>
      <c r="AI6" t="str">
        <f t="array" ref="AI6">IF(SUM(COUNTIF(H6,{"*Deep*";"*Bass*";"*Slap*"})),"**Deep House**Progressive House**House**",IF(SUM(COUNTIF(H6,{"*Lo-Fi*"})),"**Lo-Fi Hip Hop**Indie &amp; Lo Fi**Lounge**",IF(SUM(COUNTIF(H6,{"*Tech*"})),"**Tech House**Techno**Future House**",IF(SUM(COUNTIF(H6,{"*Indie/Chill Dance*"})),"**Chill Electronic**Indie Dance**Ambient**",IF(SUM(COUNTIF(H6,{"*Piano*"})),"**Progressive House**House**Dance Pop**",IF(SUM(COUNTIF(H6,{"*EDM*"})),"**Progressive House**House**EDM**",IF(H6="","","")))))))</f>
        <v>**Lo-Fi Hip Hop**Indie &amp; Lo Fi**Lounge**</v>
      </c>
      <c r="AJ6" t="str">
        <f t="shared" si="5"/>
        <v>Original</v>
      </c>
      <c r="AK6" t="str">
        <f t="array" ref="AK6">IF(SUM(COUNTIF(H6,{"*Deep*";"*Bass*";"*Slap*"})),"**Tiësto**Imanbek**",IF(SUM(COUNTIF(H6,{"*Lo-Fi*"})),"**L.Dre**Yasumu**",IF(SUM(COUNTIF(H6,{"*Tech*"})),"**Mau P**Gorgon City**",IF(SUM(COUNTIF(H6,{"*Indie/Chill Dance*"})),"**Felix Jaehn**Lost Frequencies**",IF(SUM(COUNTIF(H6,{"*Piano*"})),"**Avicii**Eric Prydz**",IF(SUM(COUNTIF(H6,{"*EDM*"})),"**David Guetta**Swedish House Mafia**",IF(H6="","","")))))))</f>
        <v>**L.Dre**Yasumu**</v>
      </c>
      <c r="AL6" t="str">
        <f t="array" aca="1" ref="AL6" ca="1">+IFERROR(INDEX(INDIRECT((_xlfn.XLOOKUP(H6,map_country[Genre],map_country[country]))),RANK(INDIRECT((_xlfn.XLOOKUP(H6,map_country[Genre],map_country[MIN+1])),FALSE),INDIRECT((_xlfn.XLOOKUP(H6,map_country[Genre],map_country[rand]))),1)),"")</f>
        <v/>
      </c>
      <c r="AM6" t="str">
        <f t="array" ref="AM6">IF(SUM(COUNTIF(H6,{"*Deep*";"*Bass*";"*Slap*"})),"Cool,Upbeat,Dark",IF(SUM(COUNTIF(H6,{"*Lo-Fi*"})),"Sexy,Relaxing,Romantic",IF(SUM(COUNTIF(H6,{"*Tech*"})),"Cool,Upbeat,Dark",IF(SUM(COUNTIF(H6,{"*Indie/Chill Dance*"})),"Cool,Upbeat,Light",IF(SUM(COUNTIF(H6,{"*Piano*"})),"Cool,Upbeat,Light",IF(SUM(COUNTIF(H6,{"*EDM*"})),"Cool,Upbeat,Happy Mood",IF(H6="","","")))))))</f>
        <v>Sexy,Relaxing,Romantic</v>
      </c>
      <c r="AN6" t="str">
        <f t="array" ref="AN6">IF(SUM(COUNTIF(H6,{"*Deep*";"*Bass*";"*Slap*"})),"Hard &amp; Heavy,Chilling Out &amp; Lounging,Happy &amp; Upbeat",IF(SUM(COUNTIF(H6,{"*Lo-Fi*"})),"Work, Study &amp; Reading,Chilling Out &amp; Lounging,Relaxed &amp; Laid Back",IF(SUM(COUNTIF(H6,{"*Tech*"})),"Hard &amp; Heavy,Chilling Out &amp; Lounging,Happy &amp; Upbeat",IF(SUM(COUNTIF(H6,{"*Indie/Chill Dance*"})),"Hard &amp; Heavy,Chilling Out &amp; Lounging,Happy &amp; Upbeat",IF(SUM(COUNTIF(H6,{"*Piano*"})),"Hard &amp; Heavy,Chilling Out &amp; Lounging,Happy &amp; Upbeat",IF(SUM(COUNTIF(H6,{"*EDM*"})),"Hard &amp; Heavy,Chilling Out &amp; Lounging,Happy &amp; Upbeat",IF(H6="","","")))))))</f>
        <v>Work, Study &amp; Reading,Chilling Out &amp; Lounging,Relaxed &amp; Laid Back</v>
      </c>
      <c r="AP6" s="9" t="str">
        <f t="shared" si="6"/>
        <v>Jazzy Kyle</v>
      </c>
      <c r="AQ6" s="9" t="str">
        <f ca="1">IFERROR(_xlfn.TEXTBEFORE(AP6,","),AP6)</f>
        <v>Jazzy Kyle</v>
      </c>
      <c r="AR6" s="9" t="str">
        <f ca="1">IFERROR(TRIM(SUBSTITUTE(SUBSTITUTE(SUBSTITUTE(SUBSTITUTE(_xlfn.TEXTAFTER(AP6,",",1),AS6,""),AT6,""),AU6,""),",","")),"")</f>
        <v/>
      </c>
      <c r="AS6" s="9" t="str">
        <f ca="1">IFERROR(SUBSTITUTE(SUBSTITUTE(SUBSTITUTE(_xlfn.TEXTAFTER(AP6,",",2),AT6,""),",",""),AU6,""),"")</f>
        <v/>
      </c>
      <c r="AT6" s="9" t="str">
        <f ca="1">IFERROR(SUBSTITUTE(SUBSTITUTE(_xlfn.TEXTAFTER(AP6,",",3),AU6,""),",",""),"")</f>
        <v/>
      </c>
      <c r="AU6" s="9" t="str">
        <f ca="1">IFERROR(_xlfn.TEXTAFTER(AP6,",",4),"")</f>
        <v/>
      </c>
      <c r="AX6" t="s">
        <v>40</v>
      </c>
      <c r="BJ6" s="4" t="s">
        <v>79</v>
      </c>
      <c r="BK6" s="5" t="s">
        <v>50</v>
      </c>
      <c r="BL6" s="5">
        <f ca="1">+RAND()</f>
        <v>0.75661996194674097</v>
      </c>
    </row>
    <row r="7" spans="1:319" x14ac:dyDescent="0.25">
      <c r="A7" t="s">
        <v>80</v>
      </c>
      <c r="B7" t="s">
        <v>75</v>
      </c>
      <c r="C7" t="s">
        <v>29</v>
      </c>
      <c r="D7" t="s">
        <v>30</v>
      </c>
      <c r="E7" t="s">
        <v>31</v>
      </c>
      <c r="F7" s="15">
        <v>5063212166082</v>
      </c>
      <c r="G7" t="s">
        <v>76</v>
      </c>
      <c r="H7" t="s">
        <v>33</v>
      </c>
      <c r="I7" t="s">
        <v>34</v>
      </c>
      <c r="J7" t="s">
        <v>77</v>
      </c>
      <c r="K7" t="s">
        <v>78</v>
      </c>
      <c r="L7" t="s">
        <v>37</v>
      </c>
      <c r="M7">
        <v>2</v>
      </c>
      <c r="N7" t="s">
        <v>38</v>
      </c>
      <c r="O7">
        <v>3</v>
      </c>
      <c r="P7" t="str">
        <f t="shared" si="0"/>
        <v>Single</v>
      </c>
      <c r="Q7" t="str">
        <f t="shared" si="1"/>
        <v>Priority</v>
      </c>
      <c r="R7" t="str">
        <f t="shared" si="2"/>
        <v>Single</v>
      </c>
      <c r="S7" t="str">
        <f t="array" ref="S7">IF(SUM(COUNTIF(H7,{"*Deep*";"*Bass*";"*Slap*"})),"Other:Deep House",IF(SUM(COUNTIF(H7,{"*Lo-Fi*"})),"Other:Lo-Fi",IF(SUM(COUNTIF(H7,{"*Tech*"})),"Other:Tech House",IF(SUM(COUNTIF(H7,{"*Indie/Chill Dance*"})),"Other:Indie/Chill Dance",IF(SUM(COUNTIF(H7,{"*Piano*"})),"Other:Piano House",IF(SUM(COUNTIF(H7,{"*EDM*"})),"edm dance",IF(H7="","","")))))))</f>
        <v>Other:Lo-Fi</v>
      </c>
      <c r="T7" t="str">
        <f t="array" ref="T7">IF(SUM(COUNTIF(H7,{"*Deep*";"*Bass*";"*Slap*"})),"energetic",IF(SUM(COUNTIF(H7,{"*Lo-Fi*"})),"calm",IF(SUM(COUNTIF(H7,{"*Tech*"})),"energetic",IF(SUM(COUNTIF(H7,{"*Indie/Chill Dance*"})),"chillout",IF(SUM(COUNTIF(H7,{"*Piano*"})),"energetic",IF(SUM(COUNTIF(H7,{"*EDM*"})),"energetic",IF(H7="","","")))))))</f>
        <v>calm</v>
      </c>
      <c r="U7" t="str">
        <f t="array" ref="U7">IF(SUM(COUNTIF(H7,{"*Tech*";"*EDM*";"*Indie*";"*Deep*";"*Piano*";"*Slap*";"*Brazilian Bass*"})),"Song would perfectly fit in any dance mood playlist! Label will invest up to 5000 EUR advertising on facebook and instagram ads aswell as promoting it over label and label partners playlists, radio stations and press.",IF(SUM(COUNTIF(H7,{"*Lo-Fi*"})),"Song would perfectly fit in any Lo-Fi mood playlist! Label will invest up to 5000 EUR advertising on facebook and instagram ads aswell as promoting it over label and label partners playlists, radio stations and press.",IF(H7="","","")))</f>
        <v>Song would perfectly fit in any Lo-Fi mood playlist! Label will invest up to 5000 EUR advertising on facebook and instagram ads aswell as promoting it over label and label partners playlists, radio stations and press.</v>
      </c>
      <c r="V7" t="str">
        <f t="shared" si="3"/>
        <v>SGL</v>
      </c>
      <c r="W7" t="str">
        <f t="shared" si="7"/>
        <v>Indie &amp; Alternative</v>
      </c>
      <c r="X7" t="str">
        <f t="shared" si="8"/>
        <v>Instrumental only</v>
      </c>
      <c r="Y7" t="str">
        <f t="shared" si="9"/>
        <v>Yes</v>
      </c>
      <c r="Z7" t="str">
        <f t="array" aca="1" ref="Z7" ca="1">+IF(H7="LO-FI","",IFERROR(INDEX(INDIRECT((_xlfn.XLOOKUP(H7,map_location[Genre],map_location[location]))),RANK(INDIRECT((_xlfn.XLOOKUP(H7,map_location[Genre],map_location[min])),FALSE),INDIRECT((_xlfn.XLOOKUP(H7,map_location[Genre],map_location[rand]))),1)),""))</f>
        <v/>
      </c>
      <c r="AA7" t="str">
        <f t="array" ref="AA7">IF(SUM(COUNTIF(H7,{"*Deep*";"*Bass*";"*Slap*"})),"**Deep House**House**Dance**",IF(SUM(COUNTIF(H7,{"*Lo-Fi*"})),"**Lo-Fi Pop**Lo-Fi Beats**Lo-Fi**",IF(SUM(COUNTIF(H7,{"*Tech*"})),"**Deep House**Tech House**Dance**",IF(SUM(COUNTIF(H7,{"*Indie/Chill Dance*"})),"**Indie Dance**Indie Electronic**Dance Pop**",IF(SUM(COUNTIF(H7,{"*Piano*"})),"**House**Electro house**Melodic House**",IF(SUM(COUNTIF(H7,{"*EDM*"})),"**EDM**Electro house**Dance Pop**",IF(H7="","","")))))))</f>
        <v>**Lo-Fi Pop**Lo-Fi Beats**Lo-Fi**</v>
      </c>
      <c r="AB7" t="str">
        <f t="array" ref="AB7">IF(SUM(COUNTIF(H7,{"*Deep*";"*Bass*";"*Slap*"})),"Energetic,Happy",IF(SUM(COUNTIF(H7,{"*Lo-Fi*"})),"Romantic,Chill",IF(SUM(COUNTIF(H7,{"*Tech*"})),"Energetic,Happy",IF(SUM(COUNTIF(H7,{"*Indie/Chill Dance*"})),"Energetic,Chill",IF(SUM(COUNTIF(H7,{"*Piano*"})),"Energetic,Happy",IF(SUM(COUNTIF(H7,{"*EDM*"})),"Energetic,Happy",IF(H7="","","")))))))</f>
        <v>Romantic,Chill</v>
      </c>
      <c r="AC7" t="str">
        <f t="array" ref="AC7">IF(SUM(COUNTIF(H7,{"*Deep*";"*Bass*";"*Slap*"})),"None of these",IF(SUM(COUNTIF(H7,{"*Lo-Fi*"})),"Holiday,Beats",IF(SUM(COUNTIF(H7,{"*Tech*"})),"None of these",IF(SUM(COUNTIF(H7,{"*Indie/Chill Dance*"})),"None of these",IF(SUM(COUNTIF(H7,{"*Piano*"})),"None of these",IF(SUM(COUNTIF(H7,{"*EDM*"})),"None of these",IF(H7="","","")))))))</f>
        <v>Holiday,Beats</v>
      </c>
      <c r="AD7" t="str">
        <f t="array" ref="AD7">IF(SUM(COUNTIF(H7,{"*Deep*";"*Bass*";"*Slap*"})),"Samples,Synthesizer,Bass Guitar,Piano,Drum Kit,Electric Guitar",IF(SUM(COUNTIF(H7,{"*Lo-Fi*"})),"Samples,Synthesizer,Bass Guitar,Piano,Drum Kit,Electric Guitar",IF(SUM(COUNTIF(H7,{"*Tech*"})),"Samples,Synthesizer,Bass Guitar,Piano,Drum Kit,Electric Guitar",IF(SUM(COUNTIF(H7,{"*Indie/Chill Dance*"})),"Samples,Synthesizer,Bass Guitar,Piano,Drum Kit,Electric Guitar",IF(SUM(COUNTIF(H7,{"*Piano*"})),"Samples,Synthesizer,Bass Guitar,Piano,Drum Kit,Electric Guitar",IF(SUM(COUNTIF(H7,{"*EDM*"})),"Samples,Synthesizer,Bass Guitar,Piano,Drum Kit,Electric Guitar",IF(H7="","","")))))))</f>
        <v>Samples,Synthesizer,Bass Guitar,Piano,Drum Kit,Electric Guitar</v>
      </c>
      <c r="AE7" t="str">
        <f t="array" ref="AE7">IF(N7="Cover","Yes",IF(SUM(COUNTIF(N7,{"*Radio/Extended*";"*Radio*";"*Remix*"})),"No",""))</f>
        <v>No</v>
      </c>
      <c r="AF7" t="str">
        <f t="array" ref="AF7">IF(N7="Remix","Yes",IF(SUM(COUNTIF(N7,{"*Radio/Extended*";"*Radio*";"*Cover*"})),"No",""))</f>
        <v>No</v>
      </c>
      <c r="AG7" t="str">
        <f t="shared" si="4"/>
        <v>**English**</v>
      </c>
      <c r="AH7" t="s">
        <v>175</v>
      </c>
      <c r="AI7" t="str">
        <f t="array" ref="AI7">IF(SUM(COUNTIF(H7,{"*Deep*";"*Bass*";"*Slap*"})),"**Deep House**Progressive House**House**",IF(SUM(COUNTIF(H7,{"*Lo-Fi*"})),"**Lo-Fi Hip Hop**Indie &amp; Lo Fi**Lounge**",IF(SUM(COUNTIF(H7,{"*Tech*"})),"**Tech House**Techno**Future House**",IF(SUM(COUNTIF(H7,{"*Indie/Chill Dance*"})),"**Chill Electronic**Indie Dance**Ambient**",IF(SUM(COUNTIF(H7,{"*Piano*"})),"**Progressive House**House**Dance Pop**",IF(SUM(COUNTIF(H7,{"*EDM*"})),"**Progressive House**House**EDM**",IF(H7="","","")))))))</f>
        <v>**Lo-Fi Hip Hop**Indie &amp; Lo Fi**Lounge**</v>
      </c>
      <c r="AJ7" t="str">
        <f t="shared" si="5"/>
        <v>Original</v>
      </c>
      <c r="AK7" t="str">
        <f t="array" ref="AK7">IF(SUM(COUNTIF(H7,{"*Deep*";"*Bass*";"*Slap*"})),"**Tiësto**Imanbek**",IF(SUM(COUNTIF(H7,{"*Lo-Fi*"})),"**L.Dre**Yasumu**",IF(SUM(COUNTIF(H7,{"*Tech*"})),"**Mau P**Gorgon City**",IF(SUM(COUNTIF(H7,{"*Indie/Chill Dance*"})),"**Felix Jaehn**Lost Frequencies**",IF(SUM(COUNTIF(H7,{"*Piano*"})),"**Avicii**Eric Prydz**",IF(SUM(COUNTIF(H7,{"*EDM*"})),"**David Guetta**Swedish House Mafia**",IF(H7="","","")))))))</f>
        <v>**L.Dre**Yasumu**</v>
      </c>
      <c r="AL7" t="str">
        <f t="array" aca="1" ref="AL7" ca="1">+IFERROR(INDEX(INDIRECT((_xlfn.XLOOKUP(H7,map_country[Genre],map_country[country]))),RANK(INDIRECT((_xlfn.XLOOKUP(H7,map_country[Genre],map_country[MIN+1])),FALSE),INDIRECT((_xlfn.XLOOKUP(H7,map_country[Genre],map_country[rand]))),1)),"")</f>
        <v/>
      </c>
      <c r="AM7" t="str">
        <f t="array" ref="AM7">IF(SUM(COUNTIF(H7,{"*Deep*";"*Bass*";"*Slap*"})),"Cool,Upbeat,Dark",IF(SUM(COUNTIF(H7,{"*Lo-Fi*"})),"Sexy,Relaxing,Romantic",IF(SUM(COUNTIF(H7,{"*Tech*"})),"Cool,Upbeat,Dark",IF(SUM(COUNTIF(H7,{"*Indie/Chill Dance*"})),"Cool,Upbeat,Light",IF(SUM(COUNTIF(H7,{"*Piano*"})),"Cool,Upbeat,Light",IF(SUM(COUNTIF(H7,{"*EDM*"})),"Cool,Upbeat,Happy Mood",IF(H7="","","")))))))</f>
        <v>Sexy,Relaxing,Romantic</v>
      </c>
      <c r="AN7" t="str">
        <f t="array" ref="AN7">IF(SUM(COUNTIF(H7,{"*Deep*";"*Bass*";"*Slap*"})),"Hard &amp; Heavy,Chilling Out &amp; Lounging,Happy &amp; Upbeat",IF(SUM(COUNTIF(H7,{"*Lo-Fi*"})),"Work, Study &amp; Reading,Chilling Out &amp; Lounging,Relaxed &amp; Laid Back",IF(SUM(COUNTIF(H7,{"*Tech*"})),"Hard &amp; Heavy,Chilling Out &amp; Lounging,Happy &amp; Upbeat",IF(SUM(COUNTIF(H7,{"*Indie/Chill Dance*"})),"Hard &amp; Heavy,Chilling Out &amp; Lounging,Happy &amp; Upbeat",IF(SUM(COUNTIF(H7,{"*Piano*"})),"Hard &amp; Heavy,Chilling Out &amp; Lounging,Happy &amp; Upbeat",IF(SUM(COUNTIF(H7,{"*EDM*"})),"Hard &amp; Heavy,Chilling Out &amp; Lounging,Happy &amp; Upbeat",IF(H7="","","")))))))</f>
        <v>Work, Study &amp; Reading,Chilling Out &amp; Lounging,Relaxed &amp; Laid Back</v>
      </c>
      <c r="AP7" s="9" t="str">
        <f t="shared" si="6"/>
        <v>Lofi Study Man</v>
      </c>
      <c r="AQ7" s="9" t="str">
        <f ca="1">IFERROR(_xlfn.TEXTBEFORE(AP7,","),AP7)</f>
        <v>Lofi Study Man</v>
      </c>
      <c r="AR7" s="9" t="str">
        <f ca="1">IFERROR(TRIM(SUBSTITUTE(SUBSTITUTE(SUBSTITUTE(SUBSTITUTE(_xlfn.TEXTAFTER(AP7,",",1),AS7,""),AT7,""),AU7,""),",","")),"")</f>
        <v/>
      </c>
      <c r="AS7" s="9" t="str">
        <f ca="1">IFERROR(SUBSTITUTE(SUBSTITUTE(SUBSTITUTE(_xlfn.TEXTAFTER(AP7,",",2),AT7,""),",",""),AU7,""),"")</f>
        <v/>
      </c>
      <c r="AT7" s="9" t="str">
        <f ca="1">IFERROR(SUBSTITUTE(SUBSTITUTE(_xlfn.TEXTAFTER(AP7,",",3),AU7,""),",",""),"")</f>
        <v/>
      </c>
      <c r="AU7" s="9" t="str">
        <f ca="1">IFERROR(_xlfn.TEXTAFTER(AP7,",",4),"")</f>
        <v/>
      </c>
      <c r="AX7" t="s">
        <v>40</v>
      </c>
    </row>
    <row r="8" spans="1:319" x14ac:dyDescent="0.25">
      <c r="A8" t="s">
        <v>74</v>
      </c>
      <c r="B8" t="s">
        <v>81</v>
      </c>
      <c r="C8" t="s">
        <v>29</v>
      </c>
      <c r="D8" t="s">
        <v>82</v>
      </c>
      <c r="E8" t="s">
        <v>83</v>
      </c>
      <c r="F8" s="3">
        <v>5063113267376</v>
      </c>
      <c r="G8" t="s">
        <v>84</v>
      </c>
      <c r="H8" s="7" t="s">
        <v>33</v>
      </c>
      <c r="I8" t="s">
        <v>85</v>
      </c>
      <c r="J8" t="s">
        <v>86</v>
      </c>
      <c r="K8" t="s">
        <v>87</v>
      </c>
      <c r="L8" t="s">
        <v>37</v>
      </c>
      <c r="M8">
        <v>2</v>
      </c>
      <c r="N8" t="s">
        <v>38</v>
      </c>
      <c r="O8">
        <v>3</v>
      </c>
      <c r="P8" t="str">
        <f t="shared" si="0"/>
        <v>Single</v>
      </c>
      <c r="Q8" t="str">
        <f t="shared" si="1"/>
        <v>Priority</v>
      </c>
      <c r="R8" t="str">
        <f t="shared" si="2"/>
        <v>Single</v>
      </c>
      <c r="S8" t="str">
        <f t="array" ref="S8">IF(SUM(COUNTIF(H8,{"*Deep*";"*Bass*";"*Slap*"})),"Other:Deep House",IF(SUM(COUNTIF(H8,{"*Lo-Fi*"})),"Other:Lo-Fi",IF(SUM(COUNTIF(H8,{"*Tech*"})),"Other:Tech House",IF(SUM(COUNTIF(H8,{"*Indie/Chill Dance*"})),"Other:Indie/Chill Dance",IF(SUM(COUNTIF(H8,{"*Piano*"})),"Other:Piano House",IF(SUM(COUNTIF(H8,{"*EDM*"})),"edm dance",IF(H8="","","")))))))</f>
        <v>Other:Lo-Fi</v>
      </c>
      <c r="T8" t="str">
        <f t="array" ref="T8">IF(SUM(COUNTIF(H8,{"*Deep*";"*Bass*";"*Slap*"})),"energetic",IF(SUM(COUNTIF(H8,{"*Lo-Fi*"})),"calm",IF(SUM(COUNTIF(H8,{"*Tech*"})),"energetic",IF(SUM(COUNTIF(H8,{"*Indie/Chill Dance*"})),"chillout",IF(SUM(COUNTIF(H8,{"*Piano*"})),"energetic",IF(SUM(COUNTIF(H8,{"*EDM*"})),"energetic",IF(H8="","","")))))))</f>
        <v>calm</v>
      </c>
      <c r="U8" t="str">
        <f t="array" ref="U8">IF(SUM(COUNTIF(H8,{"*Tech*";"*EDM*";"*Indie*";"*Deep*";"*Piano*";"*Slap*";"*Brazilian Bass*"})),"Song would perfectly fit in any dance mood playlist! Label will invest up to 5000 EUR advertising on facebook and instagram ads aswell as promoting it over label and label partners playlists, radio stations and press.",IF(SUM(COUNTIF(H8,{"*Lo-Fi*"})),"Song would perfectly fit in any Lo-Fi mood playlist! Label will invest up to 5000 EUR advertising on facebook and instagram ads aswell as promoting it over label and label partners playlists, radio stations and press.",IF(H8="","","")))</f>
        <v>Song would perfectly fit in any Lo-Fi mood playlist! Label will invest up to 5000 EUR advertising on facebook and instagram ads aswell as promoting it over label and label partners playlists, radio stations and press.</v>
      </c>
      <c r="V8" t="str">
        <f t="shared" si="3"/>
        <v>SGL</v>
      </c>
      <c r="W8" t="str">
        <f t="shared" si="7"/>
        <v>Indie &amp; Alternative</v>
      </c>
      <c r="X8" t="str">
        <f t="shared" si="8"/>
        <v>Instrumental only</v>
      </c>
      <c r="Y8" t="str">
        <f t="shared" si="9"/>
        <v>Yes</v>
      </c>
      <c r="Z8" t="str">
        <f t="array" aca="1" ref="Z8" ca="1">+IFERROR(INDEX(INDIRECT((_xlfn.XLOOKUP(H8,map_location[Genre],map_location[location]))),RANK(INDIRECT((_xlfn.XLOOKUP(H8,map_location[Genre],map_location[MIN+1])),FALSE),INDIRECT((_xlfn.XLOOKUP(H8,map_location[Genre],map_location[rand]))),1)),"")</f>
        <v/>
      </c>
      <c r="AA8" t="str">
        <f t="array" ref="AA8">IF(SUM(COUNTIF(H8,{"*Deep*";"*Bass*";"*Slap*"})),"**Deep House**House**Dance**",IF(SUM(COUNTIF(H8,{"*Lo-Fi*"})),"**Lo-Fi Pop**Lo-Fi Beats**Lo-Fi**",IF(SUM(COUNTIF(H8,{"*Tech*"})),"**Deep House**Tech House**Dance**",IF(SUM(COUNTIF(H8,{"*Indie/Chill Dance*"})),"**Indie Dance**Indie Electronic**Dance Pop**",IF(SUM(COUNTIF(H8,{"*Piano*"})),"**House**Electro house**Melodic House**",IF(SUM(COUNTIF(H8,{"*EDM*"})),"**EDM**Electro house**Dance Pop**",IF(H8="","","")))))))</f>
        <v>**Lo-Fi Pop**Lo-Fi Beats**Lo-Fi**</v>
      </c>
      <c r="AB8" t="str">
        <f t="array" ref="AB8">IF(SUM(COUNTIF(H8,{"*Deep*";"*Bass*";"*Slap*"})),"Energetic,Happy",IF(SUM(COUNTIF(H8,{"*Lo-Fi*"})),"Romantic,Chill",IF(SUM(COUNTIF(H8,{"*Tech*"})),"Energetic,Happy",IF(SUM(COUNTIF(H8,{"*Indie/Chill Dance*"})),"Energetic,Chill",IF(SUM(COUNTIF(H8,{"*Piano*"})),"Energetic,Happy",IF(SUM(COUNTIF(H8,{"*EDM*"})),"Energetic,Happy",IF(H8="","","")))))))</f>
        <v>Romantic,Chill</v>
      </c>
      <c r="AC8" t="str">
        <f t="array" ref="AC8">IF(SUM(COUNTIF(H8,{"*Deep*";"*Bass*";"*Slap*"})),"None of these",IF(SUM(COUNTIF(H8,{"*Lo-Fi*"})),"Holiday,Beats",IF(SUM(COUNTIF(H8,{"*Tech*"})),"None of these",IF(SUM(COUNTIF(H8,{"*Indie/Chill Dance*"})),"None of these",IF(SUM(COUNTIF(H8,{"*Piano*"})),"None of these",IF(SUM(COUNTIF(H8,{"*EDM*"})),"None of these",IF(H8="","","")))))))</f>
        <v>Holiday,Beats</v>
      </c>
      <c r="AD8" t="str">
        <f t="array" ref="AD8">IF(SUM(COUNTIF(H8,{"*Deep*";"*Bass*";"*Slap*"})),"Samples,Synthesizer,Bass Guitar,Piano,Drum Kit,Electric Guitar",IF(SUM(COUNTIF(H8,{"*Lo-Fi*"})),"Samples,Synthesizer,Bass Guitar,Piano,Drum Kit,Electric Guitar",IF(SUM(COUNTIF(H8,{"*Tech*"})),"Samples,Synthesizer,Bass Guitar,Piano,Drum Kit,Electric Guitar",IF(SUM(COUNTIF(H8,{"*Indie/Chill Dance*"})),"Samples,Synthesizer,Bass Guitar,Piano,Drum Kit,Electric Guitar",IF(SUM(COUNTIF(H8,{"*Piano*"})),"Samples,Synthesizer,Bass Guitar,Piano,Drum Kit,Electric Guitar",IF(SUM(COUNTIF(H8,{"*EDM*"})),"Samples,Synthesizer,Bass Guitar,Piano,Drum Kit,Electric Guitar",IF(H8="","","")))))))</f>
        <v>Samples,Synthesizer,Bass Guitar,Piano,Drum Kit,Electric Guitar</v>
      </c>
      <c r="AE8" t="str">
        <f t="array" ref="AE8">IF(N8="Cover","Yes",IF(SUM(COUNTIF(N8,{"*Radio/Extended*";"*Radio*";"*Remix*"})),"No",""))</f>
        <v>No</v>
      </c>
      <c r="AF8" t="str">
        <f t="array" ref="AF8">IF(N8="Remix","Yes",IF(SUM(COUNTIF(N8,{"*Radio/Extended*";"*Radio*";"*Cover*"})),"No",""))</f>
        <v>No</v>
      </c>
      <c r="AG8" t="str">
        <f t="shared" si="4"/>
        <v>**English**</v>
      </c>
      <c r="AH8" t="s">
        <v>176</v>
      </c>
      <c r="AI8" t="str">
        <f t="array" ref="AI8">IF(SUM(COUNTIF(H8,{"*Deep*";"*Bass*";"*Slap*"})),"**Deep House**Progressive House**House**",IF(SUM(COUNTIF(H8,{"*Lo-Fi*"})),"**Lo-Fi Hip Hop**Indie &amp; Lo Fi**Lounge**",IF(SUM(COUNTIF(H8,{"*Tech*"})),"**Tech House**Techno**Future House**",IF(SUM(COUNTIF(H8,{"*Indie/Chill Dance*"})),"**Chill Electronic**Indie Dance**Ambient**",IF(SUM(COUNTIF(H8,{"*Piano*"})),"**Progressive House**House**Dance Pop**",IF(SUM(COUNTIF(H8,{"*EDM*"})),"**Progressive House**House**EDM**",IF(H8="","","")))))))</f>
        <v>**Lo-Fi Hip Hop**Indie &amp; Lo Fi**Lounge**</v>
      </c>
      <c r="AJ8" t="str">
        <f t="shared" si="5"/>
        <v>Original</v>
      </c>
      <c r="AK8" t="str">
        <f t="array" ref="AK8">IF(SUM(COUNTIF(H8,{"*Deep*";"*Bass*";"*Slap*"})),"**Tiësto**Imanbek**",IF(SUM(COUNTIF(H8,{"*Lo-Fi*"})),"**L.Dre**Yasumu**",IF(SUM(COUNTIF(H8,{"*Tech*"})),"**Mau P**Gorgon City**",IF(SUM(COUNTIF(H8,{"*Indie/Chill Dance*"})),"**Felix Jaehn**Lost Frequencies**",IF(SUM(COUNTIF(H8,{"*Piano*"})),"**Avicii**Eric Prydz**",IF(SUM(COUNTIF(H8,{"*EDM*"})),"**David Guetta**Swedish House Mafia**",IF(H8="","","")))))))</f>
        <v>**L.Dre**Yasumu**</v>
      </c>
      <c r="AL8" t="str">
        <f t="array" aca="1" ref="AL8" ca="1">+IFERROR(INDEX(INDIRECT((_xlfn.XLOOKUP(H8,map_country[Genre],map_country[country]))),RANK(INDIRECT((_xlfn.XLOOKUP(H8,map_country[Genre],map_country[MIN+1])),FALSE),INDIRECT((_xlfn.XLOOKUP(H8,map_country[Genre],map_country[rand]))),1)),"")</f>
        <v/>
      </c>
      <c r="AM8" t="str">
        <f t="array" ref="AM8">IF(SUM(COUNTIF(H8,{"*Deep*";"*Bass*";"*Slap*"})),"Cool,Upbeat,Dark",IF(SUM(COUNTIF(H8,{"*Lo-Fi*"})),"Sexy,Relaxing,Romantic",IF(SUM(COUNTIF(H8,{"*Tech*"})),"Cool,Upbeat,Dark",IF(SUM(COUNTIF(H8,{"*Indie/Chill Dance*"})),"Cool,Upbeat,Light",IF(SUM(COUNTIF(H8,{"*Piano*"})),"Cool,Upbeat,Light",IF(SUM(COUNTIF(H8,{"*EDM*"})),"Cool,Upbeat,Happy Mood",IF(H8="","","")))))))</f>
        <v>Sexy,Relaxing,Romantic</v>
      </c>
      <c r="AN8" t="str">
        <f t="array" ref="AN8">IF(SUM(COUNTIF(H8,{"*Deep*";"*Bass*";"*Slap*"})),"Hard &amp; Heavy,Chilling Out &amp; Lounging,Happy &amp; Upbeat",IF(SUM(COUNTIF(H8,{"*Lo-Fi*"})),"Work, Study &amp; Reading,Chilling Out &amp; Lounging,Relaxed &amp; Laid Back",IF(SUM(COUNTIF(H8,{"*Tech*"})),"Hard &amp; Heavy,Chilling Out &amp; Lounging,Happy &amp; Upbeat",IF(SUM(COUNTIF(H8,{"*Indie/Chill Dance*"})),"Hard &amp; Heavy,Chilling Out &amp; Lounging,Happy &amp; Upbeat",IF(SUM(COUNTIF(H8,{"*Piano*"})),"Hard &amp; Heavy,Chilling Out &amp; Lounging,Happy &amp; Upbeat",IF(SUM(COUNTIF(H8,{"*EDM*"})),"Hard &amp; Heavy,Chilling Out &amp; Lounging,Happy &amp; Upbeat",IF(H8="","","")))))))</f>
        <v>Work, Study &amp; Reading,Chilling Out &amp; Lounging,Relaxed &amp; Laid Back</v>
      </c>
      <c r="AP8" s="9" t="str">
        <f t="shared" si="6"/>
        <v>Jazzy Kyle</v>
      </c>
      <c r="AQ8" s="9" t="str">
        <f ca="1">IFERROR(_xlfn.TEXTBEFORE(AP8,","),AP8)</f>
        <v>Jazzy Kyle</v>
      </c>
      <c r="AR8" s="9" t="str">
        <f ca="1">IFERROR(TRIM(SUBSTITUTE(SUBSTITUTE(SUBSTITUTE(SUBSTITUTE(_xlfn.TEXTAFTER(AP8,",",1),AS8,""),AT8,""),AU8,""),",","")),"")</f>
        <v/>
      </c>
      <c r="AS8" s="9" t="str">
        <f ca="1">IFERROR(SUBSTITUTE(SUBSTITUTE(SUBSTITUTE(_xlfn.TEXTAFTER(AP8,",",2),AT8,""),",",""),AU8,""),"")</f>
        <v/>
      </c>
      <c r="AT8" s="9" t="str">
        <f ca="1">IFERROR(SUBSTITUTE(SUBSTITUTE(_xlfn.TEXTAFTER(AP8,",",3),AU8,""),",",""),"")</f>
        <v/>
      </c>
      <c r="AU8" s="9" t="str">
        <f ca="1">IFERROR(_xlfn.TEXTAFTER(AP8,",",4),"")</f>
        <v/>
      </c>
      <c r="AX8" t="s">
        <v>40</v>
      </c>
      <c r="BD8" t="s">
        <v>7</v>
      </c>
      <c r="BE8" t="s">
        <v>88</v>
      </c>
      <c r="BF8" t="s">
        <v>89</v>
      </c>
      <c r="BG8" t="s">
        <v>90</v>
      </c>
      <c r="BH8" t="s">
        <v>91</v>
      </c>
      <c r="BI8" t="s">
        <v>92</v>
      </c>
      <c r="BJ8" t="s">
        <v>93</v>
      </c>
    </row>
    <row r="9" spans="1:319" x14ac:dyDescent="0.25">
      <c r="A9" t="s">
        <v>69</v>
      </c>
      <c r="B9" t="s">
        <v>81</v>
      </c>
      <c r="C9" t="s">
        <v>29</v>
      </c>
      <c r="D9" t="s">
        <v>82</v>
      </c>
      <c r="E9" t="s">
        <v>83</v>
      </c>
      <c r="F9" s="3">
        <v>5063113267376</v>
      </c>
      <c r="G9" t="s">
        <v>84</v>
      </c>
      <c r="H9" s="7" t="s">
        <v>33</v>
      </c>
      <c r="I9" t="s">
        <v>85</v>
      </c>
      <c r="J9" t="s">
        <v>86</v>
      </c>
      <c r="K9" t="s">
        <v>87</v>
      </c>
      <c r="L9" t="s">
        <v>37</v>
      </c>
      <c r="M9">
        <v>2</v>
      </c>
      <c r="N9" t="s">
        <v>38</v>
      </c>
      <c r="O9">
        <v>3</v>
      </c>
      <c r="P9" t="str">
        <f t="shared" si="0"/>
        <v>Single</v>
      </c>
      <c r="Q9" t="str">
        <f t="shared" si="1"/>
        <v>Priority</v>
      </c>
      <c r="R9" t="str">
        <f t="shared" si="2"/>
        <v>Single</v>
      </c>
      <c r="S9" t="str">
        <f t="array" ref="S9">IF(SUM(COUNTIF(H9,{"*Deep*";"*Bass*";"*Slap*"})),"Other:Deep House",IF(SUM(COUNTIF(H9,{"*Lo-Fi*"})),"Other:Lo-Fi",IF(SUM(COUNTIF(H9,{"*Tech*"})),"Other:Tech House",IF(SUM(COUNTIF(H9,{"*Indie/Chill Dance*"})),"Other:Indie/Chill Dance",IF(SUM(COUNTIF(H9,{"*Piano*"})),"Other:Piano House",IF(SUM(COUNTIF(H9,{"*EDM*"})),"edm dance",IF(H9="","","")))))))</f>
        <v>Other:Lo-Fi</v>
      </c>
      <c r="T9" t="str">
        <f t="array" ref="T9">IF(SUM(COUNTIF(H9,{"*Deep*";"*Bass*";"*Slap*"})),"energetic",IF(SUM(COUNTIF(H9,{"*Lo-Fi*"})),"calm",IF(SUM(COUNTIF(H9,{"*Tech*"})),"energetic",IF(SUM(COUNTIF(H9,{"*Indie/Chill Dance*"})),"chillout",IF(SUM(COUNTIF(H9,{"*Piano*"})),"energetic",IF(SUM(COUNTIF(H9,{"*EDM*"})),"energetic",IF(H9="","","")))))))</f>
        <v>calm</v>
      </c>
      <c r="U9" t="str">
        <f t="array" ref="U9">IF(SUM(COUNTIF(H9,{"*Tech*";"*EDM*";"*Indie*";"*Deep*";"*Piano*";"*Slap*";"*Brazilian Bass*"})),"Song would perfectly fit in any dance mood playlist! Label will invest up to 5000 EUR advertising on facebook and instagram ads aswell as promoting it over label and label partners playlists, radio stations and press.",IF(SUM(COUNTIF(H9,{"*Lo-Fi*"})),"Song would perfectly fit in any Lo-Fi mood playlist! Label will invest up to 5000 EUR advertising on facebook and instagram ads aswell as promoting it over label and label partners playlists, radio stations and press.",IF(H9="","","")))</f>
        <v>Song would perfectly fit in any Lo-Fi mood playlist! Label will invest up to 5000 EUR advertising on facebook and instagram ads aswell as promoting it over label and label partners playlists, radio stations and press.</v>
      </c>
      <c r="V9" t="str">
        <f t="shared" si="3"/>
        <v>SGL</v>
      </c>
      <c r="W9" t="str">
        <f t="shared" si="7"/>
        <v>Indie &amp; Alternative</v>
      </c>
      <c r="X9" t="str">
        <f t="shared" si="8"/>
        <v>Instrumental only</v>
      </c>
      <c r="Y9" t="str">
        <f t="shared" si="9"/>
        <v>Yes</v>
      </c>
      <c r="Z9" t="str">
        <f t="array" aca="1" ref="Z9" ca="1">+IFERROR(INDEX(INDIRECT((_xlfn.XLOOKUP(H9,map_location[Genre],map_location[location]))),RANK(INDIRECT((_xlfn.XLOOKUP(H9,map_location[Genre],map_location[MIN+1])),FALSE),INDIRECT((_xlfn.XLOOKUP(H9,map_location[Genre],map_location[rand]))),1)),"")</f>
        <v/>
      </c>
      <c r="AA9" t="str">
        <f t="array" ref="AA9">IF(SUM(COUNTIF(H9,{"*Deep*";"*Bass*";"*Slap*"})),"**Deep House**House**Dance**",IF(SUM(COUNTIF(H9,{"*Lo-Fi*"})),"**Lo-Fi Pop**Lo-Fi Beats**Lo-Fi**",IF(SUM(COUNTIF(H9,{"*Tech*"})),"**Deep House**Tech House**Dance**",IF(SUM(COUNTIF(H9,{"*Indie/Chill Dance*"})),"**Indie Dance**Indie Electronic**Dance Pop**",IF(SUM(COUNTIF(H9,{"*Piano*"})),"**House**Electro house**Melodic House**",IF(SUM(COUNTIF(H9,{"*EDM*"})),"**EDM**Electro house**Dance Pop**",IF(H9="","","")))))))</f>
        <v>**Lo-Fi Pop**Lo-Fi Beats**Lo-Fi**</v>
      </c>
      <c r="AB9" t="str">
        <f t="array" ref="AB9">IF(SUM(COUNTIF(H9,{"*Deep*";"*Bass*";"*Slap*"})),"Energetic,Happy",IF(SUM(COUNTIF(H9,{"*Lo-Fi*"})),"Romantic,Chill",IF(SUM(COUNTIF(H9,{"*Tech*"})),"Energetic,Happy",IF(SUM(COUNTIF(H9,{"*Indie/Chill Dance*"})),"Energetic,Chill",IF(SUM(COUNTIF(H9,{"*Piano*"})),"Energetic,Happy",IF(SUM(COUNTIF(H9,{"*EDM*"})),"Energetic,Happy",IF(H9="","","")))))))</f>
        <v>Romantic,Chill</v>
      </c>
      <c r="AC9" t="str">
        <f t="array" ref="AC9">IF(SUM(COUNTIF(H9,{"*Deep*";"*Bass*";"*Slap*"})),"None of these",IF(SUM(COUNTIF(H9,{"*Lo-Fi*"})),"Holiday,Beats",IF(SUM(COUNTIF(H9,{"*Tech*"})),"None of these",IF(SUM(COUNTIF(H9,{"*Indie/Chill Dance*"})),"None of these",IF(SUM(COUNTIF(H9,{"*Piano*"})),"None of these",IF(SUM(COUNTIF(H9,{"*EDM*"})),"None of these",IF(H9="","","")))))))</f>
        <v>Holiday,Beats</v>
      </c>
      <c r="AD9" t="str">
        <f t="array" ref="AD9">IF(SUM(COUNTIF(H9,{"*Deep*";"*Bass*";"*Slap*"})),"Samples,Synthesizer,Bass Guitar,Piano,Drum Kit,Electric Guitar",IF(SUM(COUNTIF(H9,{"*Lo-Fi*"})),"Samples,Synthesizer,Bass Guitar,Piano,Drum Kit,Electric Guitar",IF(SUM(COUNTIF(H9,{"*Tech*"})),"Samples,Synthesizer,Bass Guitar,Piano,Drum Kit,Electric Guitar",IF(SUM(COUNTIF(H9,{"*Indie/Chill Dance*"})),"Samples,Synthesizer,Bass Guitar,Piano,Drum Kit,Electric Guitar",IF(SUM(COUNTIF(H9,{"*Piano*"})),"Samples,Synthesizer,Bass Guitar,Piano,Drum Kit,Electric Guitar",IF(SUM(COUNTIF(H9,{"*EDM*"})),"Samples,Synthesizer,Bass Guitar,Piano,Drum Kit,Electric Guitar",IF(H9="","","")))))))</f>
        <v>Samples,Synthesizer,Bass Guitar,Piano,Drum Kit,Electric Guitar</v>
      </c>
      <c r="AE9" t="str">
        <f t="array" ref="AE9">IF(N9="Cover","Yes",IF(SUM(COUNTIF(N9,{"*Radio/Extended*";"*Radio*";"*Remix*"})),"No",""))</f>
        <v>No</v>
      </c>
      <c r="AF9" t="str">
        <f t="array" ref="AF9">IF(N9="Remix","Yes",IF(SUM(COUNTIF(N9,{"*Radio/Extended*";"*Radio*";"*Cover*"})),"No",""))</f>
        <v>No</v>
      </c>
      <c r="AG9" t="str">
        <f t="shared" si="4"/>
        <v>**English**</v>
      </c>
      <c r="AH9" t="s">
        <v>176</v>
      </c>
      <c r="AI9" t="str">
        <f t="array" ref="AI9">IF(SUM(COUNTIF(H9,{"*Deep*";"*Bass*";"*Slap*"})),"**Deep House**Progressive House**House**",IF(SUM(COUNTIF(H9,{"*Lo-Fi*"})),"**Lo-Fi Hip Hop**Indie &amp; Lo Fi**Lounge**",IF(SUM(COUNTIF(H9,{"*Tech*"})),"**Tech House**Techno**Future House**",IF(SUM(COUNTIF(H9,{"*Indie/Chill Dance*"})),"**Chill Electronic**Indie Dance**Ambient**",IF(SUM(COUNTIF(H9,{"*Piano*"})),"**Progressive House**House**Dance Pop**",IF(SUM(COUNTIF(H9,{"*EDM*"})),"**Progressive House**House**EDM**",IF(H9="","","")))))))</f>
        <v>**Lo-Fi Hip Hop**Indie &amp; Lo Fi**Lounge**</v>
      </c>
      <c r="AJ9" t="str">
        <f t="shared" si="5"/>
        <v>Original</v>
      </c>
      <c r="AK9" t="str">
        <f t="array" ref="AK9">IF(SUM(COUNTIF(H9,{"*Deep*";"*Bass*";"*Slap*"})),"**Tiësto**Imanbek**",IF(SUM(COUNTIF(H9,{"*Lo-Fi*"})),"**L.Dre**Yasumu**",IF(SUM(COUNTIF(H9,{"*Tech*"})),"**Mau P**Gorgon City**",IF(SUM(COUNTIF(H9,{"*Indie/Chill Dance*"})),"**Felix Jaehn**Lost Frequencies**",IF(SUM(COUNTIF(H9,{"*Piano*"})),"**Avicii**Eric Prydz**",IF(SUM(COUNTIF(H9,{"*EDM*"})),"**David Guetta**Swedish House Mafia**",IF(H9="","","")))))))</f>
        <v>**L.Dre**Yasumu**</v>
      </c>
      <c r="AL9" t="str">
        <f t="array" aca="1" ref="AL9" ca="1">+IFERROR(INDEX(INDIRECT((_xlfn.XLOOKUP(H9,map_country[Genre],map_country[country]))),RANK(INDIRECT((_xlfn.XLOOKUP(H9,map_country[Genre],map_country[MIN+1])),FALSE),INDIRECT((_xlfn.XLOOKUP(H9,map_country[Genre],map_country[rand]))),1)),"")</f>
        <v/>
      </c>
      <c r="AM9" t="str">
        <f t="array" ref="AM9">IF(SUM(COUNTIF(H9,{"*Deep*";"*Bass*";"*Slap*"})),"Cool,Upbeat,Dark",IF(SUM(COUNTIF(H9,{"*Lo-Fi*"})),"Sexy,Relaxing,Romantic",IF(SUM(COUNTIF(H9,{"*Tech*"})),"Cool,Upbeat,Dark",IF(SUM(COUNTIF(H9,{"*Indie/Chill Dance*"})),"Cool,Upbeat,Light",IF(SUM(COUNTIF(H9,{"*Piano*"})),"Cool,Upbeat,Light",IF(SUM(COUNTIF(H9,{"*EDM*"})),"Cool,Upbeat,Happy Mood",IF(H9="","","")))))))</f>
        <v>Sexy,Relaxing,Romantic</v>
      </c>
      <c r="AN9" t="str">
        <f t="array" ref="AN9">IF(SUM(COUNTIF(H9,{"*Deep*";"*Bass*";"*Slap*"})),"Hard &amp; Heavy,Chilling Out &amp; Lounging,Happy &amp; Upbeat",IF(SUM(COUNTIF(H9,{"*Lo-Fi*"})),"Work, Study &amp; Reading,Chilling Out &amp; Lounging,Relaxed &amp; Laid Back",IF(SUM(COUNTIF(H9,{"*Tech*"})),"Hard &amp; Heavy,Chilling Out &amp; Lounging,Happy &amp; Upbeat",IF(SUM(COUNTIF(H9,{"*Indie/Chill Dance*"})),"Hard &amp; Heavy,Chilling Out &amp; Lounging,Happy &amp; Upbeat",IF(SUM(COUNTIF(H9,{"*Piano*"})),"Hard &amp; Heavy,Chilling Out &amp; Lounging,Happy &amp; Upbeat",IF(SUM(COUNTIF(H9,{"*EDM*"})),"Hard &amp; Heavy,Chilling Out &amp; Lounging,Happy &amp; Upbeat",IF(H9="","","")))))))</f>
        <v>Work, Study &amp; Reading,Chilling Out &amp; Lounging,Relaxed &amp; Laid Back</v>
      </c>
      <c r="AP9" s="9" t="str">
        <f t="shared" si="6"/>
        <v>Lofi Best Music</v>
      </c>
      <c r="AQ9" s="9" t="str">
        <f ca="1">IFERROR(_xlfn.TEXTBEFORE(AP9,","),AP9)</f>
        <v>Lofi Best Music</v>
      </c>
      <c r="AR9" s="9" t="str">
        <f ca="1">IFERROR(TRIM(SUBSTITUTE(SUBSTITUTE(SUBSTITUTE(SUBSTITUTE(_xlfn.TEXTAFTER(AP9,",",1),AS9,""),AT9,""),AU9,""),",","")),"")</f>
        <v/>
      </c>
      <c r="AS9" s="9" t="str">
        <f ca="1">IFERROR(SUBSTITUTE(SUBSTITUTE(SUBSTITUTE(_xlfn.TEXTAFTER(AP9,",",2),AT9,""),",",""),AU9,""),"")</f>
        <v/>
      </c>
      <c r="AT9" s="9" t="str">
        <f ca="1">IFERROR(SUBSTITUTE(SUBSTITUTE(_xlfn.TEXTAFTER(AP9,",",3),AU9,""),",",""),"")</f>
        <v/>
      </c>
      <c r="AU9" s="9" t="str">
        <f ca="1">IFERROR(_xlfn.TEXTAFTER(AP9,",",4),"")</f>
        <v/>
      </c>
      <c r="AX9" t="s">
        <v>40</v>
      </c>
      <c r="BD9" t="s">
        <v>46</v>
      </c>
      <c r="BE9" t="s">
        <v>94</v>
      </c>
      <c r="BF9" t="s">
        <v>95</v>
      </c>
      <c r="BG9" t="str">
        <f>+map_location[[#This Row],[rand]]</f>
        <v>deep[rand]</v>
      </c>
      <c r="BH9" t="str">
        <f>"R"&amp;ROW(BC3)&amp;"C"&amp;COLUMN(BC3)</f>
        <v>R3C55</v>
      </c>
      <c r="BI9" t="str">
        <f>"R"&amp;ROW(BC4)&amp;"C"&amp;COLUMN(BC4)</f>
        <v>R4C55</v>
      </c>
      <c r="BJ9" t="str">
        <f>"R"&amp;ROW(BC5)&amp;"C"&amp;COLUMN(BC5)</f>
        <v>R5C55</v>
      </c>
    </row>
    <row r="10" spans="1:319" x14ac:dyDescent="0.25">
      <c r="A10" t="s">
        <v>96</v>
      </c>
      <c r="B10" t="s">
        <v>97</v>
      </c>
      <c r="C10" t="s">
        <v>29</v>
      </c>
      <c r="D10" t="s">
        <v>82</v>
      </c>
      <c r="E10" t="s">
        <v>83</v>
      </c>
      <c r="F10" s="3">
        <v>5063112614485</v>
      </c>
      <c r="G10" t="s">
        <v>98</v>
      </c>
      <c r="H10" s="14" t="s">
        <v>33</v>
      </c>
      <c r="I10" t="s">
        <v>34</v>
      </c>
      <c r="J10" t="s">
        <v>99</v>
      </c>
      <c r="K10" t="s">
        <v>100</v>
      </c>
      <c r="L10" t="s">
        <v>37</v>
      </c>
      <c r="M10">
        <v>2</v>
      </c>
      <c r="N10" t="s">
        <v>38</v>
      </c>
      <c r="O10">
        <v>3</v>
      </c>
      <c r="P10" t="str">
        <f t="shared" si="0"/>
        <v>Single</v>
      </c>
      <c r="Q10" t="str">
        <f t="shared" si="1"/>
        <v>Priority</v>
      </c>
      <c r="R10" t="str">
        <f t="shared" si="2"/>
        <v>Single</v>
      </c>
      <c r="S10" t="str">
        <f t="array" ref="S10">IF(SUM(COUNTIF(H10,{"*Deep*";"*Bass*";"*Slap*"})),"Other:Deep House",IF(SUM(COUNTIF(H10,{"*Lo-Fi*"})),"Other:Lo-Fi",IF(SUM(COUNTIF(H10,{"*Tech*"})),"Other:Tech House",IF(SUM(COUNTIF(H10,{"*Indie/Chill Dance*"})),"Other:Indie/Chill Dance",IF(SUM(COUNTIF(H10,{"*Piano*"})),"Other:Piano House",IF(SUM(COUNTIF(H10,{"*EDM*"})),"edm dance",IF(H10="","","")))))))</f>
        <v>Other:Lo-Fi</v>
      </c>
      <c r="T10" t="str">
        <f t="array" ref="T10">IF(SUM(COUNTIF(H10,{"*Deep*";"*Bass*";"*Slap*"})),"energetic",IF(SUM(COUNTIF(H10,{"*Lo-Fi*"})),"calm",IF(SUM(COUNTIF(H10,{"*Tech*"})),"energetic",IF(SUM(COUNTIF(H10,{"*Indie/Chill Dance*"})),"chillout",IF(SUM(COUNTIF(H10,{"*Piano*"})),"energetic",IF(SUM(COUNTIF(H10,{"*EDM*"})),"energetic",IF(H10="","","")))))))</f>
        <v>calm</v>
      </c>
      <c r="U10" t="str">
        <f t="array" ref="U10">IF(SUM(COUNTIF(H10,{"*Tech*";"*EDM*";"*Indie*";"*Deep*";"*Piano*";"*Slap*";"*Brazilian Bass*"})),"Song would perfectly fit in any dance mood playlist! Label will invest up to 5000 EUR advertising on facebook and instagram ads aswell as promoting it over label and label partners playlists, radio stations and press.",IF(SUM(COUNTIF(H10,{"*Lo-Fi*"})),"Song would perfectly fit in any Lo-Fi mood playlist! Label will invest up to 5000 EUR advertising on facebook and instagram ads aswell as promoting it over label and label partners playlists, radio stations and press.",IF(H10="","","")))</f>
        <v>Song would perfectly fit in any Lo-Fi mood playlist! Label will invest up to 5000 EUR advertising on facebook and instagram ads aswell as promoting it over label and label partners playlists, radio stations and press.</v>
      </c>
      <c r="V10" t="str">
        <f t="shared" si="3"/>
        <v>SGL</v>
      </c>
      <c r="W10" t="str">
        <f t="shared" si="7"/>
        <v>Indie &amp; Alternative</v>
      </c>
      <c r="X10" t="str">
        <f t="shared" si="8"/>
        <v>Instrumental only</v>
      </c>
      <c r="Y10" t="str">
        <f t="shared" si="9"/>
        <v>Yes</v>
      </c>
      <c r="Z10" t="str">
        <f t="array" aca="1" ref="Z10" ca="1">+IFERROR(INDEX(INDIRECT((_xlfn.XLOOKUP(H10,map_location[Genre],map_location[location]))),RANK(INDIRECT((_xlfn.XLOOKUP(H10,map_location[Genre],map_location[MIN+1])),FALSE),INDIRECT((_xlfn.XLOOKUP(H10,map_location[Genre],map_location[rand]))),1)),"")</f>
        <v/>
      </c>
      <c r="AA10" t="str">
        <f t="array" ref="AA10">IF(SUM(COUNTIF(H10,{"*Deep*";"*Bass*";"*Slap*"})),"**Deep House**House**Dance**",IF(SUM(COUNTIF(H10,{"*Lo-Fi*"})),"**Lo-Fi Pop**Lo-Fi Beats**Lo-Fi**",IF(SUM(COUNTIF(H10,{"*Tech*"})),"**Deep House**Tech House**Dance**",IF(SUM(COUNTIF(H10,{"*Indie/Chill Dance*"})),"**Indie Dance**Indie Electronic**Dance Pop**",IF(SUM(COUNTIF(H10,{"*Piano*"})),"**House**Electro house**Melodic House**",IF(SUM(COUNTIF(H10,{"*EDM*"})),"**EDM**Electro house**Dance Pop**",IF(H10="","","")))))))</f>
        <v>**Lo-Fi Pop**Lo-Fi Beats**Lo-Fi**</v>
      </c>
      <c r="AB10" t="str">
        <f t="array" ref="AB10">IF(SUM(COUNTIF(H10,{"*Deep*";"*Bass*";"*Slap*"})),"Energetic,Happy",IF(SUM(COUNTIF(H10,{"*Lo-Fi*"})),"Romantic,Chill",IF(SUM(COUNTIF(H10,{"*Tech*"})),"Energetic,Happy",IF(SUM(COUNTIF(H10,{"*Indie/Chill Dance*"})),"Energetic,Chill",IF(SUM(COUNTIF(H10,{"*Piano*"})),"Energetic,Happy",IF(SUM(COUNTIF(H10,{"*EDM*"})),"Energetic,Happy",IF(H10="","","")))))))</f>
        <v>Romantic,Chill</v>
      </c>
      <c r="AC10" t="str">
        <f t="array" ref="AC10">IF(SUM(COUNTIF(H10,{"*Deep*";"*Bass*";"*Slap*"})),"None of these",IF(SUM(COUNTIF(H10,{"*Lo-Fi*"})),"Holiday,Beats",IF(SUM(COUNTIF(H10,{"*Tech*"})),"None of these",IF(SUM(COUNTIF(H10,{"*Indie/Chill Dance*"})),"None of these",IF(SUM(COUNTIF(H10,{"*Piano*"})),"None of these",IF(SUM(COUNTIF(H10,{"*EDM*"})),"None of these",IF(H10="","","")))))))</f>
        <v>Holiday,Beats</v>
      </c>
      <c r="AD10" t="str">
        <f t="array" ref="AD10">IF(SUM(COUNTIF(H10,{"*Deep*";"*Bass*";"*Slap*"})),"Samples,Synthesizer,Bass Guitar,Piano,Drum Kit,Electric Guitar",IF(SUM(COUNTIF(H10,{"*Lo-Fi*"})),"Samples,Synthesizer,Bass Guitar,Piano,Drum Kit,Electric Guitar",IF(SUM(COUNTIF(H10,{"*Tech*"})),"Samples,Synthesizer,Bass Guitar,Piano,Drum Kit,Electric Guitar",IF(SUM(COUNTIF(H10,{"*Indie/Chill Dance*"})),"Samples,Synthesizer,Bass Guitar,Piano,Drum Kit,Electric Guitar",IF(SUM(COUNTIF(H10,{"*Piano*"})),"Samples,Synthesizer,Bass Guitar,Piano,Drum Kit,Electric Guitar",IF(SUM(COUNTIF(H10,{"*EDM*"})),"Samples,Synthesizer,Bass Guitar,Piano,Drum Kit,Electric Guitar",IF(H10="","","")))))))</f>
        <v>Samples,Synthesizer,Bass Guitar,Piano,Drum Kit,Electric Guitar</v>
      </c>
      <c r="AE10" t="str">
        <f t="array" ref="AE10">IF(N10="Cover","Yes",IF(SUM(COUNTIF(N10,{"*Radio/Extended*";"*Radio*";"*Remix*"})),"No",""))</f>
        <v>No</v>
      </c>
      <c r="AF10" t="str">
        <f t="array" ref="AF10">IF(N10="Remix","Yes",IF(SUM(COUNTIF(N10,{"*Radio/Extended*";"*Radio*";"*Cover*"})),"No",""))</f>
        <v>No</v>
      </c>
      <c r="AG10" t="str">
        <f t="shared" si="4"/>
        <v>**English**</v>
      </c>
      <c r="AH10" t="s">
        <v>177</v>
      </c>
      <c r="AI10" t="str">
        <f t="array" ref="AI10">IF(SUM(COUNTIF(H10,{"*Deep*";"*Bass*";"*Slap*"})),"**Deep House**Progressive House**House**",IF(SUM(COUNTIF(H10,{"*Lo-Fi*"})),"**Lo-Fi Hip Hop**Indie &amp; Lo Fi**Lounge**",IF(SUM(COUNTIF(H10,{"*Tech*"})),"**Tech House**Techno**Future House**",IF(SUM(COUNTIF(H10,{"*Indie/Chill Dance*"})),"**Chill Electronic**Indie Dance**Ambient**",IF(SUM(COUNTIF(H10,{"*Piano*"})),"**Progressive House**House**Dance Pop**",IF(SUM(COUNTIF(H10,{"*EDM*"})),"**Progressive House**House**EDM**",IF(H10="","","")))))))</f>
        <v>**Lo-Fi Hip Hop**Indie &amp; Lo Fi**Lounge**</v>
      </c>
      <c r="AJ10" t="str">
        <f t="shared" si="5"/>
        <v>Original</v>
      </c>
      <c r="AK10" t="str">
        <f t="array" ref="AK10">IF(SUM(COUNTIF(H10,{"*Deep*";"*Bass*";"*Slap*"})),"**Tiësto**Imanbek**",IF(SUM(COUNTIF(H10,{"*Lo-Fi*"})),"**L.Dre**Yasumu**",IF(SUM(COUNTIF(H10,{"*Tech*"})),"**Mau P**Gorgon City**",IF(SUM(COUNTIF(H10,{"*Indie/Chill Dance*"})),"**Felix Jaehn**Lost Frequencies**",IF(SUM(COUNTIF(H10,{"*Piano*"})),"**Avicii**Eric Prydz**",IF(SUM(COUNTIF(H10,{"*EDM*"})),"**David Guetta**Swedish House Mafia**",IF(H10="","","")))))))</f>
        <v>**L.Dre**Yasumu**</v>
      </c>
      <c r="AL10" t="str">
        <f t="array" aca="1" ref="AL10" ca="1">+IFERROR(INDEX(INDIRECT((_xlfn.XLOOKUP(H10,map_country[Genre],map_country[country]))),RANK(INDIRECT((_xlfn.XLOOKUP(H10,map_country[Genre],map_country[MIN+1])),FALSE),INDIRECT((_xlfn.XLOOKUP(H10,map_country[Genre],map_country[rand]))),1)),"")</f>
        <v/>
      </c>
      <c r="AM10" t="str">
        <f t="array" ref="AM10">IF(SUM(COUNTIF(H10,{"*Deep*";"*Bass*";"*Slap*"})),"Cool,Upbeat,Dark",IF(SUM(COUNTIF(H10,{"*Lo-Fi*"})),"Sexy,Relaxing,Romantic",IF(SUM(COUNTIF(H10,{"*Tech*"})),"Cool,Upbeat,Dark",IF(SUM(COUNTIF(H10,{"*Indie/Chill Dance*"})),"Cool,Upbeat,Light",IF(SUM(COUNTIF(H10,{"*Piano*"})),"Cool,Upbeat,Light",IF(SUM(COUNTIF(H10,{"*EDM*"})),"Cool,Upbeat,Happy Mood",IF(H10="","","")))))))</f>
        <v>Sexy,Relaxing,Romantic</v>
      </c>
      <c r="AN10" t="str">
        <f t="array" ref="AN10">IF(SUM(COUNTIF(H10,{"*Deep*";"*Bass*";"*Slap*"})),"Hard &amp; Heavy,Chilling Out &amp; Lounging,Happy &amp; Upbeat",IF(SUM(COUNTIF(H10,{"*Lo-Fi*"})),"Work, Study &amp; Reading,Chilling Out &amp; Lounging,Relaxed &amp; Laid Back",IF(SUM(COUNTIF(H10,{"*Tech*"})),"Hard &amp; Heavy,Chilling Out &amp; Lounging,Happy &amp; Upbeat",IF(SUM(COUNTIF(H10,{"*Indie/Chill Dance*"})),"Hard &amp; Heavy,Chilling Out &amp; Lounging,Happy &amp; Upbeat",IF(SUM(COUNTIF(H10,{"*Piano*"})),"Hard &amp; Heavy,Chilling Out &amp; Lounging,Happy &amp; Upbeat",IF(SUM(COUNTIF(H10,{"*EDM*"})),"Hard &amp; Heavy,Chilling Out &amp; Lounging,Happy &amp; Upbeat",IF(H10="","","")))))))</f>
        <v>Work, Study &amp; Reading,Chilling Out &amp; Lounging,Relaxed &amp; Laid Back</v>
      </c>
      <c r="AP10" s="9" t="str">
        <f t="shared" si="6"/>
        <v>Brandon Study</v>
      </c>
      <c r="AQ10" s="9" t="str">
        <f ca="1">IFERROR(_xlfn.TEXTBEFORE(AP10,","),AP10)</f>
        <v>Brandon Study</v>
      </c>
      <c r="AR10" s="9" t="str">
        <f ca="1">IFERROR(TRIM(SUBSTITUTE(SUBSTITUTE(SUBSTITUTE(SUBSTITUTE(_xlfn.TEXTAFTER(AP10,",",1),AS10,""),AT10,""),AU10,""),",","")),"")</f>
        <v/>
      </c>
      <c r="AS10" s="9" t="str">
        <f ca="1">IFERROR(SUBSTITUTE(SUBSTITUTE(SUBSTITUTE(_xlfn.TEXTAFTER(AP10,",",2),AT10,""),",",""),AU10,""),"")</f>
        <v/>
      </c>
      <c r="AT10" s="9" t="str">
        <f ca="1">IFERROR(SUBSTITUTE(SUBSTITUTE(_xlfn.TEXTAFTER(AP10,",",3),AU10,""),",",""),"")</f>
        <v/>
      </c>
      <c r="AU10" s="9" t="str">
        <f ca="1">IFERROR(_xlfn.TEXTAFTER(AP10,",",4),"")</f>
        <v/>
      </c>
      <c r="AX10" t="s">
        <v>40</v>
      </c>
      <c r="BD10" t="s">
        <v>48</v>
      </c>
      <c r="BE10" t="s">
        <v>101</v>
      </c>
      <c r="BF10" t="s">
        <v>102</v>
      </c>
      <c r="BG10" t="s">
        <v>103</v>
      </c>
      <c r="BH10" t="str">
        <f>"R"&amp;ROW(BG3)&amp;"C"&amp;COLUMN(BG3)</f>
        <v>R3C59</v>
      </c>
      <c r="BI10" t="str">
        <f>"R"&amp;ROW(BG4)&amp;"C"&amp;COLUMN(BG4)</f>
        <v>R4C59</v>
      </c>
      <c r="BJ10" t="str">
        <f>"R"&amp;ROW(BG5)&amp;"C"&amp;COLUMN(BG5)</f>
        <v>R5C59</v>
      </c>
    </row>
    <row r="11" spans="1:319" x14ac:dyDescent="0.25">
      <c r="A11" t="s">
        <v>104</v>
      </c>
      <c r="B11" t="s">
        <v>105</v>
      </c>
      <c r="C11" t="s">
        <v>29</v>
      </c>
      <c r="D11" t="s">
        <v>82</v>
      </c>
      <c r="E11" t="s">
        <v>83</v>
      </c>
      <c r="F11" s="3">
        <v>5063212158544</v>
      </c>
      <c r="G11" t="s">
        <v>106</v>
      </c>
      <c r="H11" s="7" t="s">
        <v>33</v>
      </c>
      <c r="I11" t="s">
        <v>34</v>
      </c>
      <c r="J11" t="s">
        <v>107</v>
      </c>
      <c r="K11" t="s">
        <v>108</v>
      </c>
      <c r="L11" t="s">
        <v>37</v>
      </c>
      <c r="M11">
        <v>2</v>
      </c>
      <c r="N11" t="s">
        <v>38</v>
      </c>
      <c r="O11">
        <v>3</v>
      </c>
      <c r="P11" t="str">
        <f t="shared" si="0"/>
        <v>Single</v>
      </c>
      <c r="Q11" t="str">
        <f t="shared" si="1"/>
        <v>Priority</v>
      </c>
      <c r="R11" t="str">
        <f t="shared" si="2"/>
        <v>Single</v>
      </c>
      <c r="S11" t="str">
        <f t="array" ref="S11">IF(SUM(COUNTIF(H11,{"*Deep*";"*Bass*";"*Slap*"})),"Other:Deep House",IF(SUM(COUNTIF(H11,{"*Lo-Fi*"})),"Other:Lo-Fi",IF(SUM(COUNTIF(H11,{"*Tech*"})),"Other:Tech House",IF(SUM(COUNTIF(H11,{"*Indie/Chill Dance*"})),"Other:Indie/Chill Dance",IF(SUM(COUNTIF(H11,{"*Piano*"})),"Other:Piano House",IF(SUM(COUNTIF(H11,{"*EDM*"})),"edm dance",IF(H11="","","")))))))</f>
        <v>Other:Lo-Fi</v>
      </c>
      <c r="T11" t="str">
        <f t="array" ref="T11">IF(SUM(COUNTIF(H11,{"*Deep*";"*Bass*";"*Slap*"})),"energetic",IF(SUM(COUNTIF(H11,{"*Lo-Fi*"})),"calm",IF(SUM(COUNTIF(H11,{"*Tech*"})),"energetic",IF(SUM(COUNTIF(H11,{"*Indie/Chill Dance*"})),"chillout",IF(SUM(COUNTIF(H11,{"*Piano*"})),"energetic",IF(SUM(COUNTIF(H11,{"*EDM*"})),"energetic",IF(H11="","","")))))))</f>
        <v>calm</v>
      </c>
      <c r="U11" t="str">
        <f t="array" ref="U11">IF(SUM(COUNTIF(H11,{"*Tech*";"*EDM*";"*Indie*";"*Deep*";"*Piano*";"*Slap*";"*Brazilian Bass*"})),"Song would perfectly fit in any dance mood playlist! Label will invest up to 5000 EUR advertising on facebook and instagram ads aswell as promoting it over label and label partners playlists, radio stations and press.",IF(SUM(COUNTIF(H11,{"*Lo-Fi*"})),"Song would perfectly fit in any Lo-Fi mood playlist! Label will invest up to 5000 EUR advertising on facebook and instagram ads aswell as promoting it over label and label partners playlists, radio stations and press.",IF(H11="","","")))</f>
        <v>Song would perfectly fit in any Lo-Fi mood playlist! Label will invest up to 5000 EUR advertising on facebook and instagram ads aswell as promoting it over label and label partners playlists, radio stations and press.</v>
      </c>
      <c r="V11" t="str">
        <f t="shared" si="3"/>
        <v>SGL</v>
      </c>
      <c r="W11" t="str">
        <f t="shared" si="7"/>
        <v>Indie &amp; Alternative</v>
      </c>
      <c r="X11" t="str">
        <f t="shared" si="8"/>
        <v>Instrumental only</v>
      </c>
      <c r="Y11" t="str">
        <f t="shared" si="9"/>
        <v>Yes</v>
      </c>
      <c r="Z11" t="str">
        <f t="array" aca="1" ref="Z11" ca="1">+IFERROR(INDEX(INDIRECT((_xlfn.XLOOKUP(H11,map_location[Genre],map_location[location]))),RANK(INDIRECT((_xlfn.XLOOKUP(H11,map_location[Genre],map_location[MIN+1])),FALSE),INDIRECT((_xlfn.XLOOKUP(H11,map_location[Genre],map_location[rand]))),1)),"")</f>
        <v/>
      </c>
      <c r="AA11" t="str">
        <f t="array" ref="AA11">IF(SUM(COUNTIF(H11,{"*Deep*";"*Bass*";"*Slap*"})),"**Deep House**House**Dance**",IF(SUM(COUNTIF(H11,{"*Lo-Fi*"})),"**Lo-Fi Pop**Lo-Fi Beats**Lo-Fi**",IF(SUM(COUNTIF(H11,{"*Tech*"})),"**Deep House**Tech House**Dance**",IF(SUM(COUNTIF(H11,{"*Indie/Chill Dance*"})),"**Indie Dance**Indie Electronic**Dance Pop**",IF(SUM(COUNTIF(H11,{"*Piano*"})),"**House**Electro house**Melodic House**",IF(SUM(COUNTIF(H11,{"*EDM*"})),"**EDM**Electro house**Dance Pop**",IF(H11="","","")))))))</f>
        <v>**Lo-Fi Pop**Lo-Fi Beats**Lo-Fi**</v>
      </c>
      <c r="AB11" t="str">
        <f t="array" ref="AB11">IF(SUM(COUNTIF(H11,{"*Deep*";"*Bass*";"*Slap*"})),"Energetic,Happy",IF(SUM(COUNTIF(H11,{"*Lo-Fi*"})),"Romantic,Chill",IF(SUM(COUNTIF(H11,{"*Tech*"})),"Energetic,Happy",IF(SUM(COUNTIF(H11,{"*Indie/Chill Dance*"})),"Energetic,Chill",IF(SUM(COUNTIF(H11,{"*Piano*"})),"Energetic,Happy",IF(SUM(COUNTIF(H11,{"*EDM*"})),"Energetic,Happy",IF(H11="","","")))))))</f>
        <v>Romantic,Chill</v>
      </c>
      <c r="AC11" t="str">
        <f t="array" ref="AC11">IF(SUM(COUNTIF(H11,{"*Deep*";"*Bass*";"*Slap*"})),"None of these",IF(SUM(COUNTIF(H11,{"*Lo-Fi*"})),"Holiday,Beats",IF(SUM(COUNTIF(H11,{"*Tech*"})),"None of these",IF(SUM(COUNTIF(H11,{"*Indie/Chill Dance*"})),"None of these",IF(SUM(COUNTIF(H11,{"*Piano*"})),"None of these",IF(SUM(COUNTIF(H11,{"*EDM*"})),"None of these",IF(H11="","","")))))))</f>
        <v>Holiday,Beats</v>
      </c>
      <c r="AD11" t="str">
        <f t="array" ref="AD11">IF(SUM(COUNTIF(H11,{"*Deep*";"*Bass*";"*Slap*"})),"Samples,Synthesizer,Bass Guitar,Piano,Drum Kit,Electric Guitar",IF(SUM(COUNTIF(H11,{"*Lo-Fi*"})),"Samples,Synthesizer,Bass Guitar,Piano,Drum Kit,Electric Guitar",IF(SUM(COUNTIF(H11,{"*Tech*"})),"Samples,Synthesizer,Bass Guitar,Piano,Drum Kit,Electric Guitar",IF(SUM(COUNTIF(H11,{"*Indie/Chill Dance*"})),"Samples,Synthesizer,Bass Guitar,Piano,Drum Kit,Electric Guitar",IF(SUM(COUNTIF(H11,{"*Piano*"})),"Samples,Synthesizer,Bass Guitar,Piano,Drum Kit,Electric Guitar",IF(SUM(COUNTIF(H11,{"*EDM*"})),"Samples,Synthesizer,Bass Guitar,Piano,Drum Kit,Electric Guitar",IF(H11="","","")))))))</f>
        <v>Samples,Synthesizer,Bass Guitar,Piano,Drum Kit,Electric Guitar</v>
      </c>
      <c r="AE11" t="str">
        <f t="array" ref="AE11">IF(N11="Cover","Yes",IF(SUM(COUNTIF(N11,{"*Radio/Extended*";"*Radio*";"*Remix*"})),"No",""))</f>
        <v>No</v>
      </c>
      <c r="AF11" t="str">
        <f t="array" ref="AF11">IF(N11="Remix","Yes",IF(SUM(COUNTIF(N11,{"*Radio/Extended*";"*Radio*";"*Cover*"})),"No",""))</f>
        <v>No</v>
      </c>
      <c r="AG11" t="str">
        <f t="shared" si="4"/>
        <v>**English**</v>
      </c>
      <c r="AH11" t="s">
        <v>178</v>
      </c>
      <c r="AI11" t="str">
        <f t="array" ref="AI11">IF(SUM(COUNTIF(H11,{"*Deep*";"*Bass*";"*Slap*"})),"**Deep House**Progressive House**House**",IF(SUM(COUNTIF(H11,{"*Lo-Fi*"})),"**Lo-Fi Hip Hop**Indie &amp; Lo Fi**Lounge**",IF(SUM(COUNTIF(H11,{"*Tech*"})),"**Tech House**Techno**Future House**",IF(SUM(COUNTIF(H11,{"*Indie/Chill Dance*"})),"**Chill Electronic**Indie Dance**Ambient**",IF(SUM(COUNTIF(H11,{"*Piano*"})),"**Progressive House**House**Dance Pop**",IF(SUM(COUNTIF(H11,{"*EDM*"})),"**Progressive House**House**EDM**",IF(H11="","","")))))))</f>
        <v>**Lo-Fi Hip Hop**Indie &amp; Lo Fi**Lounge**</v>
      </c>
      <c r="AJ11" t="str">
        <f t="shared" si="5"/>
        <v>Original</v>
      </c>
      <c r="AK11" t="str">
        <f t="array" ref="AK11">IF(SUM(COUNTIF(H11,{"*Deep*";"*Bass*";"*Slap*"})),"**Tiësto**Imanbek**",IF(SUM(COUNTIF(H11,{"*Lo-Fi*"})),"**L.Dre**Yasumu**",IF(SUM(COUNTIF(H11,{"*Tech*"})),"**Mau P**Gorgon City**",IF(SUM(COUNTIF(H11,{"*Indie/Chill Dance*"})),"**Felix Jaehn**Lost Frequencies**",IF(SUM(COUNTIF(H11,{"*Piano*"})),"**Avicii**Eric Prydz**",IF(SUM(COUNTIF(H11,{"*EDM*"})),"**David Guetta**Swedish House Mafia**",IF(H11="","","")))))))</f>
        <v>**L.Dre**Yasumu**</v>
      </c>
      <c r="AL11" t="str">
        <f t="array" aca="1" ref="AL11" ca="1">+IFERROR(INDEX(INDIRECT((_xlfn.XLOOKUP(H11,map_country[Genre],map_country[country]))),RANK(INDIRECT((_xlfn.XLOOKUP(H11,map_country[Genre],map_country[MIN+1])),FALSE),INDIRECT((_xlfn.XLOOKUP(H11,map_country[Genre],map_country[rand]))),1)),"")</f>
        <v/>
      </c>
      <c r="AM11" t="str">
        <f t="array" ref="AM11">IF(SUM(COUNTIF(H11,{"*Deep*";"*Bass*";"*Slap*"})),"Cool,Upbeat,Dark",IF(SUM(COUNTIF(H11,{"*Lo-Fi*"})),"Sexy,Relaxing,Romantic",IF(SUM(COUNTIF(H11,{"*Tech*"})),"Cool,Upbeat,Dark",IF(SUM(COUNTIF(H11,{"*Indie/Chill Dance*"})),"Cool,Upbeat,Light",IF(SUM(COUNTIF(H11,{"*Piano*"})),"Cool,Upbeat,Light",IF(SUM(COUNTIF(H11,{"*EDM*"})),"Cool,Upbeat,Happy Mood",IF(H11="","","")))))))</f>
        <v>Sexy,Relaxing,Romantic</v>
      </c>
      <c r="AN11" t="str">
        <f t="array" ref="AN11">IF(SUM(COUNTIF(H11,{"*Deep*";"*Bass*";"*Slap*"})),"Hard &amp; Heavy,Chilling Out &amp; Lounging,Happy &amp; Upbeat",IF(SUM(COUNTIF(H11,{"*Lo-Fi*"})),"Work, Study &amp; Reading,Chilling Out &amp; Lounging,Relaxed &amp; Laid Back",IF(SUM(COUNTIF(H11,{"*Tech*"})),"Hard &amp; Heavy,Chilling Out &amp; Lounging,Happy &amp; Upbeat",IF(SUM(COUNTIF(H11,{"*Indie/Chill Dance*"})),"Hard &amp; Heavy,Chilling Out &amp; Lounging,Happy &amp; Upbeat",IF(SUM(COUNTIF(H11,{"*Piano*"})),"Hard &amp; Heavy,Chilling Out &amp; Lounging,Happy &amp; Upbeat",IF(SUM(COUNTIF(H11,{"*EDM*"})),"Hard &amp; Heavy,Chilling Out &amp; Lounging,Happy &amp; Upbeat",IF(H11="","","")))))))</f>
        <v>Work, Study &amp; Reading,Chilling Out &amp; Lounging,Relaxed &amp; Laid Back</v>
      </c>
      <c r="AP11" s="9" t="str">
        <f t="shared" si="6"/>
        <v>Floating Blue</v>
      </c>
      <c r="AQ11" s="9" t="str">
        <f ca="1">IFERROR(_xlfn.TEXTBEFORE(AP11,","),AP11)</f>
        <v>Floating Blue</v>
      </c>
      <c r="AR11" s="9" t="str">
        <f ca="1">IFERROR(TRIM(SUBSTITUTE(SUBSTITUTE(SUBSTITUTE(SUBSTITUTE(_xlfn.TEXTAFTER(AP11,",",1),AS11,""),AT11,""),AU11,""),",","")),"")</f>
        <v/>
      </c>
      <c r="AS11" s="9" t="str">
        <f ca="1">IFERROR(SUBSTITUTE(SUBSTITUTE(SUBSTITUTE(_xlfn.TEXTAFTER(AP11,",",2),AT11,""),",",""),AU11,""),"")</f>
        <v/>
      </c>
      <c r="AT11" s="9" t="str">
        <f ca="1">IFERROR(SUBSTITUTE(SUBSTITUTE(_xlfn.TEXTAFTER(AP11,",",3),AU11,""),",",""),"")</f>
        <v/>
      </c>
      <c r="AU11" s="9" t="str">
        <f ca="1">IFERROR(_xlfn.TEXTAFTER(AP11,",",4),"")</f>
        <v/>
      </c>
      <c r="AX11" t="s">
        <v>40</v>
      </c>
      <c r="BD11" t="s">
        <v>50</v>
      </c>
      <c r="BE11" t="s">
        <v>109</v>
      </c>
      <c r="BF11" t="s">
        <v>110</v>
      </c>
      <c r="BG11" t="str">
        <f>+map_location[[#This Row],[rand]]</f>
        <v>piano[rand]</v>
      </c>
      <c r="BH11" t="str">
        <f>"R"&amp;ROW(BL3)&amp;"C"&amp;COLUMN(BL3)</f>
        <v>R3C64</v>
      </c>
      <c r="BI11" t="str">
        <f>"R"&amp;ROW(BL4)&amp;"C"&amp;COLUMN(BL4)</f>
        <v>R4C64</v>
      </c>
      <c r="BJ11" t="str">
        <f>"R"&amp;ROW(BL5)&amp;"C"&amp;COLUMN(BL5)</f>
        <v>R5C64</v>
      </c>
    </row>
    <row r="12" spans="1:319" x14ac:dyDescent="0.25">
      <c r="A12" t="s">
        <v>111</v>
      </c>
      <c r="B12" t="s">
        <v>105</v>
      </c>
      <c r="C12" t="s">
        <v>29</v>
      </c>
      <c r="D12" t="s">
        <v>82</v>
      </c>
      <c r="E12" t="s">
        <v>83</v>
      </c>
      <c r="F12" s="3">
        <v>5063212158544</v>
      </c>
      <c r="G12" t="s">
        <v>106</v>
      </c>
      <c r="H12" s="7" t="s">
        <v>33</v>
      </c>
      <c r="I12" t="s">
        <v>34</v>
      </c>
      <c r="J12" t="s">
        <v>107</v>
      </c>
      <c r="K12" t="s">
        <v>108</v>
      </c>
      <c r="L12" t="s">
        <v>37</v>
      </c>
      <c r="M12">
        <v>2</v>
      </c>
      <c r="N12" t="s">
        <v>38</v>
      </c>
      <c r="O12">
        <v>3</v>
      </c>
      <c r="P12" t="str">
        <f t="shared" si="0"/>
        <v>Single</v>
      </c>
      <c r="Q12" t="str">
        <f t="shared" si="1"/>
        <v>Priority</v>
      </c>
      <c r="R12" t="str">
        <f t="shared" si="2"/>
        <v>Single</v>
      </c>
      <c r="S12" t="str">
        <f t="array" ref="S12">IF(SUM(COUNTIF(H12,{"*Deep*";"*Bass*";"*Slap*"})),"Other:Deep House",IF(SUM(COUNTIF(H12,{"*Lo-Fi*"})),"Other:Lo-Fi",IF(SUM(COUNTIF(H12,{"*Tech*"})),"Other:Tech House",IF(SUM(COUNTIF(H12,{"*Indie/Chill Dance*"})),"Other:Indie/Chill Dance",IF(SUM(COUNTIF(H12,{"*Piano*"})),"Other:Piano House",IF(SUM(COUNTIF(H12,{"*EDM*"})),"edm dance",IF(H12="","","")))))))</f>
        <v>Other:Lo-Fi</v>
      </c>
      <c r="T12" t="str">
        <f t="array" ref="T12">IF(SUM(COUNTIF(H12,{"*Deep*";"*Bass*";"*Slap*"})),"energetic",IF(SUM(COUNTIF(H12,{"*Lo-Fi*"})),"calm",IF(SUM(COUNTIF(H12,{"*Tech*"})),"energetic",IF(SUM(COUNTIF(H12,{"*Indie/Chill Dance*"})),"chillout",IF(SUM(COUNTIF(H12,{"*Piano*"})),"energetic",IF(SUM(COUNTIF(H12,{"*EDM*"})),"energetic",IF(H12="","","")))))))</f>
        <v>calm</v>
      </c>
      <c r="U12" t="str">
        <f t="array" ref="U12">IF(SUM(COUNTIF(H12,{"*Tech*";"*EDM*";"*Indie*";"*Deep*";"*Piano*";"*Slap*";"*Brazilian Bass*"})),"Song would perfectly fit in any dance mood playlist! Label will invest up to 5000 EUR advertising on facebook and instagram ads aswell as promoting it over label and label partners playlists, radio stations and press.",IF(SUM(COUNTIF(H12,{"*Lo-Fi*"})),"Song would perfectly fit in any Lo-Fi mood playlist! Label will invest up to 5000 EUR advertising on facebook and instagram ads aswell as promoting it over label and label partners playlists, radio stations and press.",IF(H12="","","")))</f>
        <v>Song would perfectly fit in any Lo-Fi mood playlist! Label will invest up to 5000 EUR advertising on facebook and instagram ads aswell as promoting it over label and label partners playlists, radio stations and press.</v>
      </c>
      <c r="V12" t="str">
        <f t="shared" si="3"/>
        <v>SGL</v>
      </c>
      <c r="W12" t="str">
        <f t="shared" si="7"/>
        <v>Indie &amp; Alternative</v>
      </c>
      <c r="X12" t="str">
        <f t="shared" si="8"/>
        <v>Instrumental only</v>
      </c>
      <c r="Y12" t="str">
        <f t="shared" si="9"/>
        <v>Yes</v>
      </c>
      <c r="Z12" t="str">
        <f t="array" aca="1" ref="Z12" ca="1">+IFERROR(INDEX(INDIRECT((_xlfn.XLOOKUP(H12,map_location[Genre],map_location[location]))),RANK(INDIRECT((_xlfn.XLOOKUP(H12,map_location[Genre],map_location[MIN+1])),FALSE),INDIRECT((_xlfn.XLOOKUP(H12,map_location[Genre],map_location[rand]))),1)),"")</f>
        <v/>
      </c>
      <c r="AA12" t="str">
        <f t="array" ref="AA12">IF(SUM(COUNTIF(H12,{"*Deep*";"*Bass*";"*Slap*"})),"**Deep House**House**Dance**",IF(SUM(COUNTIF(H12,{"*Lo-Fi*"})),"**Lo-Fi Pop**Lo-Fi Beats**Lo-Fi**",IF(SUM(COUNTIF(H12,{"*Tech*"})),"**Deep House**Tech House**Dance**",IF(SUM(COUNTIF(H12,{"*Indie/Chill Dance*"})),"**Indie Dance**Indie Electronic**Dance Pop**",IF(SUM(COUNTIF(H12,{"*Piano*"})),"**House**Electro house**Melodic House**",IF(SUM(COUNTIF(H12,{"*EDM*"})),"**EDM**Electro house**Dance Pop**",IF(H12="","","")))))))</f>
        <v>**Lo-Fi Pop**Lo-Fi Beats**Lo-Fi**</v>
      </c>
      <c r="AB12" t="str">
        <f t="array" ref="AB12">IF(SUM(COUNTIF(H12,{"*Deep*";"*Bass*";"*Slap*"})),"Energetic,Happy",IF(SUM(COUNTIF(H12,{"*Lo-Fi*"})),"Romantic,Chill",IF(SUM(COUNTIF(H12,{"*Tech*"})),"Energetic,Happy",IF(SUM(COUNTIF(H12,{"*Indie/Chill Dance*"})),"Energetic,Chill",IF(SUM(COUNTIF(H12,{"*Piano*"})),"Energetic,Happy",IF(SUM(COUNTIF(H12,{"*EDM*"})),"Energetic,Happy",IF(H12="","","")))))))</f>
        <v>Romantic,Chill</v>
      </c>
      <c r="AC12" t="str">
        <f t="array" ref="AC12">IF(SUM(COUNTIF(H12,{"*Deep*";"*Bass*";"*Slap*"})),"None of these",IF(SUM(COUNTIF(H12,{"*Lo-Fi*"})),"Holiday,Beats",IF(SUM(COUNTIF(H12,{"*Tech*"})),"None of these",IF(SUM(COUNTIF(H12,{"*Indie/Chill Dance*"})),"None of these",IF(SUM(COUNTIF(H12,{"*Piano*"})),"None of these",IF(SUM(COUNTIF(H12,{"*EDM*"})),"None of these",IF(H12="","","")))))))</f>
        <v>Holiday,Beats</v>
      </c>
      <c r="AD12" t="str">
        <f t="array" ref="AD12">IF(SUM(COUNTIF(H12,{"*Deep*";"*Bass*";"*Slap*"})),"Samples,Synthesizer,Bass Guitar,Piano,Drum Kit,Electric Guitar",IF(SUM(COUNTIF(H12,{"*Lo-Fi*"})),"Samples,Synthesizer,Bass Guitar,Piano,Drum Kit,Electric Guitar",IF(SUM(COUNTIF(H12,{"*Tech*"})),"Samples,Synthesizer,Bass Guitar,Piano,Drum Kit,Electric Guitar",IF(SUM(COUNTIF(H12,{"*Indie/Chill Dance*"})),"Samples,Synthesizer,Bass Guitar,Piano,Drum Kit,Electric Guitar",IF(SUM(COUNTIF(H12,{"*Piano*"})),"Samples,Synthesizer,Bass Guitar,Piano,Drum Kit,Electric Guitar",IF(SUM(COUNTIF(H12,{"*EDM*"})),"Samples,Synthesizer,Bass Guitar,Piano,Drum Kit,Electric Guitar",IF(H12="","","")))))))</f>
        <v>Samples,Synthesizer,Bass Guitar,Piano,Drum Kit,Electric Guitar</v>
      </c>
      <c r="AE12" t="str">
        <f t="array" ref="AE12">IF(N12="Cover","Yes",IF(SUM(COUNTIF(N12,{"*Radio/Extended*";"*Radio*";"*Remix*"})),"No",""))</f>
        <v>No</v>
      </c>
      <c r="AF12" t="str">
        <f t="array" ref="AF12">IF(N12="Remix","Yes",IF(SUM(COUNTIF(N12,{"*Radio/Extended*";"*Radio*";"*Cover*"})),"No",""))</f>
        <v>No</v>
      </c>
      <c r="AG12" t="str">
        <f t="shared" si="4"/>
        <v>**English**</v>
      </c>
      <c r="AH12" t="s">
        <v>178</v>
      </c>
      <c r="AI12" t="str">
        <f t="array" ref="AI12">IF(SUM(COUNTIF(H12,{"*Deep*";"*Bass*";"*Slap*"})),"**Deep House**Progressive House**House**",IF(SUM(COUNTIF(H12,{"*Lo-Fi*"})),"**Lo-Fi Hip Hop**Indie &amp; Lo Fi**Lounge**",IF(SUM(COUNTIF(H12,{"*Tech*"})),"**Tech House**Techno**Future House**",IF(SUM(COUNTIF(H12,{"*Indie/Chill Dance*"})),"**Chill Electronic**Indie Dance**Ambient**",IF(SUM(COUNTIF(H12,{"*Piano*"})),"**Progressive House**House**Dance Pop**",IF(SUM(COUNTIF(H12,{"*EDM*"})),"**Progressive House**House**EDM**",IF(H12="","","")))))))</f>
        <v>**Lo-Fi Hip Hop**Indie &amp; Lo Fi**Lounge**</v>
      </c>
      <c r="AJ12" t="str">
        <f t="shared" si="5"/>
        <v>Original</v>
      </c>
      <c r="AK12" t="str">
        <f t="array" ref="AK12">IF(SUM(COUNTIF(H12,{"*Deep*";"*Bass*";"*Slap*"})),"**Tiësto**Imanbek**",IF(SUM(COUNTIF(H12,{"*Lo-Fi*"})),"**L.Dre**Yasumu**",IF(SUM(COUNTIF(H12,{"*Tech*"})),"**Mau P**Gorgon City**",IF(SUM(COUNTIF(H12,{"*Indie/Chill Dance*"})),"**Felix Jaehn**Lost Frequencies**",IF(SUM(COUNTIF(H12,{"*Piano*"})),"**Avicii**Eric Prydz**",IF(SUM(COUNTIF(H12,{"*EDM*"})),"**David Guetta**Swedish House Mafia**",IF(H12="","","")))))))</f>
        <v>**L.Dre**Yasumu**</v>
      </c>
      <c r="AL12" t="str">
        <f t="array" aca="1" ref="AL12" ca="1">+IFERROR(INDEX(INDIRECT((_xlfn.XLOOKUP(H12,map_country[Genre],map_country[country]))),RANK(INDIRECT((_xlfn.XLOOKUP(H12,map_country[Genre],map_country[MIN+1])),FALSE),INDIRECT((_xlfn.XLOOKUP(H12,map_country[Genre],map_country[rand]))),1)),"")</f>
        <v/>
      </c>
      <c r="AM12" t="str">
        <f t="array" ref="AM12">IF(SUM(COUNTIF(H12,{"*Deep*";"*Bass*";"*Slap*"})),"Cool,Upbeat,Dark",IF(SUM(COUNTIF(H12,{"*Lo-Fi*"})),"Sexy,Relaxing,Romantic",IF(SUM(COUNTIF(H12,{"*Tech*"})),"Cool,Upbeat,Dark",IF(SUM(COUNTIF(H12,{"*Indie/Chill Dance*"})),"Cool,Upbeat,Light",IF(SUM(COUNTIF(H12,{"*Piano*"})),"Cool,Upbeat,Light",IF(SUM(COUNTIF(H12,{"*EDM*"})),"Cool,Upbeat,Happy Mood",IF(H12="","","")))))))</f>
        <v>Sexy,Relaxing,Romantic</v>
      </c>
      <c r="AN12" t="str">
        <f t="array" ref="AN12">IF(SUM(COUNTIF(H12,{"*Deep*";"*Bass*";"*Slap*"})),"Hard &amp; Heavy,Chilling Out &amp; Lounging,Happy &amp; Upbeat",IF(SUM(COUNTIF(H12,{"*Lo-Fi*"})),"Work, Study &amp; Reading,Chilling Out &amp; Lounging,Relaxed &amp; Laid Back",IF(SUM(COUNTIF(H12,{"*Tech*"})),"Hard &amp; Heavy,Chilling Out &amp; Lounging,Happy &amp; Upbeat",IF(SUM(COUNTIF(H12,{"*Indie/Chill Dance*"})),"Hard &amp; Heavy,Chilling Out &amp; Lounging,Happy &amp; Upbeat",IF(SUM(COUNTIF(H12,{"*Piano*"})),"Hard &amp; Heavy,Chilling Out &amp; Lounging,Happy &amp; Upbeat",IF(SUM(COUNTIF(H12,{"*EDM*"})),"Hard &amp; Heavy,Chilling Out &amp; Lounging,Happy &amp; Upbeat",IF(H12="","","")))))))</f>
        <v>Work, Study &amp; Reading,Chilling Out &amp; Lounging,Relaxed &amp; Laid Back</v>
      </c>
      <c r="AP12" s="9" t="str">
        <f t="shared" si="6"/>
        <v>LOFI Gambler</v>
      </c>
      <c r="AQ12" s="9" t="str">
        <f ca="1">IFERROR(_xlfn.TEXTBEFORE(AP12,","),AP12)</f>
        <v>LOFI Gambler</v>
      </c>
      <c r="AR12" s="9" t="str">
        <f ca="1">IFERROR(TRIM(SUBSTITUTE(SUBSTITUTE(SUBSTITUTE(SUBSTITUTE(_xlfn.TEXTAFTER(AP12,",",1),AS12,""),AT12,""),AU12,""),",","")),"")</f>
        <v/>
      </c>
      <c r="AS12" s="9" t="str">
        <f ca="1">IFERROR(SUBSTITUTE(SUBSTITUTE(SUBSTITUTE(_xlfn.TEXTAFTER(AP12,",",2),AT12,""),",",""),AU12,""),"")</f>
        <v/>
      </c>
      <c r="AT12" s="9" t="str">
        <f ca="1">IFERROR(SUBSTITUTE(SUBSTITUTE(_xlfn.TEXTAFTER(AP12,",",3),AU12,""),",",""),"")</f>
        <v/>
      </c>
      <c r="AU12" s="9" t="str">
        <f ca="1">IFERROR(_xlfn.TEXTAFTER(AP12,",",4),"")</f>
        <v/>
      </c>
      <c r="AX12" t="s">
        <v>40</v>
      </c>
      <c r="BD12" t="s">
        <v>52</v>
      </c>
      <c r="BE12" t="s">
        <v>112</v>
      </c>
      <c r="BF12" t="s">
        <v>113</v>
      </c>
      <c r="BG12" t="str">
        <f>+map_location[[#This Row],[rand]]</f>
        <v>indie[rand]</v>
      </c>
      <c r="BH12" t="str">
        <f>"R"&amp;ROW(BP3)&amp;"C"&amp;COLUMN(BP3)</f>
        <v>R3C68</v>
      </c>
      <c r="BI12" t="str">
        <f>"R"&amp;ROW(BP4)&amp;"C"&amp;COLUMN(BP4)</f>
        <v>R4C68</v>
      </c>
      <c r="BJ12" t="str">
        <f>"R"&amp;ROW(BP5)&amp;"C"&amp;COLUMN(BP5)</f>
        <v>R5C68</v>
      </c>
    </row>
    <row r="13" spans="1:319" x14ac:dyDescent="0.25">
      <c r="A13" t="s">
        <v>114</v>
      </c>
      <c r="B13" t="s">
        <v>115</v>
      </c>
      <c r="D13" t="s">
        <v>116</v>
      </c>
      <c r="E13" t="s">
        <v>117</v>
      </c>
      <c r="F13" s="3">
        <v>5063010719435</v>
      </c>
      <c r="G13" t="s">
        <v>118</v>
      </c>
      <c r="H13" s="7" t="s">
        <v>33</v>
      </c>
      <c r="I13" t="s">
        <v>34</v>
      </c>
      <c r="J13" t="s">
        <v>119</v>
      </c>
      <c r="K13" t="s">
        <v>120</v>
      </c>
      <c r="L13" t="s">
        <v>37</v>
      </c>
      <c r="O13">
        <v>3</v>
      </c>
      <c r="P13" t="str">
        <f t="shared" si="0"/>
        <v/>
      </c>
      <c r="Q13" t="str">
        <f t="shared" si="1"/>
        <v/>
      </c>
      <c r="R13" t="str">
        <f t="shared" si="2"/>
        <v/>
      </c>
      <c r="S13" t="str">
        <f t="array" ref="S13">IF(SUM(COUNTIF(H13,{"*Deep*";"*Bass*";"*Slap*"})),"Other:Deep House",IF(SUM(COUNTIF(H13,{"*Lo-Fi*"})),"Other:Lo-Fi",IF(SUM(COUNTIF(H13,{"*Tech*"})),"Other:Tech House",IF(SUM(COUNTIF(H13,{"*Indie/Chill Dance*"})),"Other:Indie/Chill Dance",IF(SUM(COUNTIF(H13,{"*Piano*"})),"Other:Piano House",IF(SUM(COUNTIF(H13,{"*EDM*"})),"edm dance",IF(H13="","","")))))))</f>
        <v>Other:Lo-Fi</v>
      </c>
      <c r="T13" t="str">
        <f t="array" ref="T13">IF(SUM(COUNTIF(H13,{"*Deep*";"*Bass*";"*Slap*"})),"energetic",IF(SUM(COUNTIF(H13,{"*Lo-Fi*"})),"calm",IF(SUM(COUNTIF(H13,{"*Tech*"})),"energetic",IF(SUM(COUNTIF(H13,{"*Indie/Chill Dance*"})),"chillout",IF(SUM(COUNTIF(H13,{"*Piano*"})),"energetic",IF(SUM(COUNTIF(H13,{"*EDM*"})),"energetic",IF(H13="","","")))))))</f>
        <v>calm</v>
      </c>
      <c r="U13" t="str">
        <f t="array" ref="U13">IF(SUM(COUNTIF(H13,{"*Tech*";"*EDM*";"*Indie*";"*Deep*";"*Piano*";"*Slap*";"*Brazilian Bass*"})),"Song would perfectly fit in any dance mood playlist! Label will invest up to 5000 EUR advertising on facebook and instagram ads aswell as promoting it over label and label partners playlists, radio stations and press.",IF(SUM(COUNTIF(H13,{"*Lo-Fi*"})),"Song would perfectly fit in any Lo-Fi mood playlist! Label will invest up to 5000 EUR advertising on facebook and instagram ads aswell as promoting it over label and label partners playlists, radio stations and press.",IF(H13="","","")))</f>
        <v>Song would perfectly fit in any Lo-Fi mood playlist! Label will invest up to 5000 EUR advertising on facebook and instagram ads aswell as promoting it over label and label partners playlists, radio stations and press.</v>
      </c>
      <c r="V13" t="str">
        <f t="shared" si="3"/>
        <v/>
      </c>
      <c r="W13" t="str">
        <f t="shared" si="7"/>
        <v>Indie &amp; Alternative</v>
      </c>
      <c r="X13" t="str">
        <f t="shared" si="8"/>
        <v>Instrumental only</v>
      </c>
      <c r="Z13" t="str">
        <f t="array" aca="1" ref="Z13" ca="1">+IFERROR(INDEX(INDIRECT((_xlfn.XLOOKUP(H13,map_location[Genre],map_location[location]))),RANK(INDIRECT((_xlfn.XLOOKUP(H13,map_location[Genre],map_location[MIN+1])),FALSE),INDIRECT((_xlfn.XLOOKUP(H13,map_location[Genre],map_location[rand]))),1)),"")</f>
        <v/>
      </c>
      <c r="AA13" t="str">
        <f t="array" ref="AA13">IF(SUM(COUNTIF(H13,{"*Deep*";"*Bass*";"*Slap*"})),"**Deep House**House**Dance**",IF(SUM(COUNTIF(H13,{"*Lo-Fi*"})),"**Lo-Fi Pop**Lo-Fi Beats**Lo-Fi**",IF(SUM(COUNTIF(H13,{"*Tech*"})),"**Deep House**Tech House**Dance**",IF(SUM(COUNTIF(H13,{"*Indie/Chill Dance*"})),"**Indie Dance**Indie Electronic**Dance Pop**",IF(SUM(COUNTIF(H13,{"*Piano*"})),"**House**Electro house**Melodic House**",IF(SUM(COUNTIF(H13,{"*EDM*"})),"**EDM**Electro house**Dance Pop**",IF(H13="","","")))))))</f>
        <v>**Lo-Fi Pop**Lo-Fi Beats**Lo-Fi**</v>
      </c>
      <c r="AB13" t="str">
        <f t="array" ref="AB13">IF(SUM(COUNTIF(H13,{"*Deep*";"*Bass*";"*Slap*"})),"Energetic,Happy",IF(SUM(COUNTIF(H13,{"*Lo-Fi*"})),"Romantic,Chill",IF(SUM(COUNTIF(H13,{"*Tech*"})),"Energetic,Happy",IF(SUM(COUNTIF(H13,{"*Indie/Chill Dance*"})),"Energetic,Chill",IF(SUM(COUNTIF(H13,{"*Piano*"})),"Energetic,Happy",IF(SUM(COUNTIF(H13,{"*EDM*"})),"Energetic,Happy",IF(H13="","","")))))))</f>
        <v>Romantic,Chill</v>
      </c>
      <c r="AC13" t="str">
        <f t="array" ref="AC13">IF(SUM(COUNTIF(H13,{"*Deep*";"*Bass*";"*Slap*"})),"None of these",IF(SUM(COUNTIF(H13,{"*Lo-Fi*"})),"Holiday,Beats",IF(SUM(COUNTIF(H13,{"*Tech*"})),"None of these",IF(SUM(COUNTIF(H13,{"*Indie/Chill Dance*"})),"None of these",IF(SUM(COUNTIF(H13,{"*Piano*"})),"None of these",IF(SUM(COUNTIF(H13,{"*EDM*"})),"None of these",IF(H13="","","")))))))</f>
        <v>Holiday,Beats</v>
      </c>
      <c r="AD13" t="str">
        <f t="array" ref="AD13">IF(SUM(COUNTIF(H13,{"*Deep*";"*Bass*";"*Slap*"})),"Samples,Synthesizer,Bass Guitar,Piano,Drum Kit,Electric Guitar",IF(SUM(COUNTIF(H13,{"*Lo-Fi*"})),"Samples,Synthesizer,Bass Guitar,Piano,Drum Kit,Electric Guitar",IF(SUM(COUNTIF(H13,{"*Tech*"})),"Samples,Synthesizer,Bass Guitar,Piano,Drum Kit,Electric Guitar",IF(SUM(COUNTIF(H13,{"*Indie/Chill Dance*"})),"Samples,Synthesizer,Bass Guitar,Piano,Drum Kit,Electric Guitar",IF(SUM(COUNTIF(H13,{"*Piano*"})),"Samples,Synthesizer,Bass Guitar,Piano,Drum Kit,Electric Guitar",IF(SUM(COUNTIF(H13,{"*EDM*"})),"Samples,Synthesizer,Bass Guitar,Piano,Drum Kit,Electric Guitar",IF(H13="","","")))))))</f>
        <v>Samples,Synthesizer,Bass Guitar,Piano,Drum Kit,Electric Guitar</v>
      </c>
      <c r="AE13" t="str">
        <f t="array" ref="AE13">IF(N13="Cover","Yes",IF(SUM(COUNTIF(N13,{"*Radio/Extended*";"*Radio*";"*Remix*"})),"No",""))</f>
        <v/>
      </c>
      <c r="AF13" t="str">
        <f t="array" ref="AF13">IF(N13="Remix","Yes",IF(SUM(COUNTIF(N13,{"*Radio/Extended*";"*Radio*";"*Cover*"})),"No",""))</f>
        <v/>
      </c>
      <c r="AG13" t="str">
        <f t="shared" si="4"/>
        <v>**English**</v>
      </c>
      <c r="AH13" t="s">
        <v>179</v>
      </c>
      <c r="AI13" t="str">
        <f t="array" ref="AI13">IF(SUM(COUNTIF(H13,{"*Deep*";"*Bass*";"*Slap*"})),"**Deep House**Progressive House**House**",IF(SUM(COUNTIF(H13,{"*Lo-Fi*"})),"**Lo-Fi Hip Hop**Indie &amp; Lo Fi**Lounge**",IF(SUM(COUNTIF(H13,{"*Tech*"})),"**Tech House**Techno**Future House**",IF(SUM(COUNTIF(H13,{"*Indie/Chill Dance*"})),"**Chill Electronic**Indie Dance**Ambient**",IF(SUM(COUNTIF(H13,{"*Piano*"})),"**Progressive House**House**Dance Pop**",IF(SUM(COUNTIF(H13,{"*EDM*"})),"**Progressive House**House**EDM**",IF(H13="","","")))))))</f>
        <v>**Lo-Fi Hip Hop**Indie &amp; Lo Fi**Lounge**</v>
      </c>
      <c r="AJ13" t="str">
        <f t="shared" si="5"/>
        <v/>
      </c>
      <c r="AK13" t="str">
        <f t="array" ref="AK13">IF(SUM(COUNTIF(H13,{"*Deep*";"*Bass*";"*Slap*"})),"**Tiësto**Imanbek**",IF(SUM(COUNTIF(H13,{"*Lo-Fi*"})),"**L.Dre**Yasumu**",IF(SUM(COUNTIF(H13,{"*Tech*"})),"**Mau P**Gorgon City**",IF(SUM(COUNTIF(H13,{"*Indie/Chill Dance*"})),"**Felix Jaehn**Lost Frequencies**",IF(SUM(COUNTIF(H13,{"*Piano*"})),"**Avicii**Eric Prydz**",IF(SUM(COUNTIF(H13,{"*EDM*"})),"**David Guetta**Swedish House Mafia**",IF(H13="","","")))))))</f>
        <v>**L.Dre**Yasumu**</v>
      </c>
      <c r="AL13" t="str">
        <f t="array" aca="1" ref="AL13" ca="1">+IFERROR(INDEX(INDIRECT((_xlfn.XLOOKUP(H13,map_country[Genre],map_country[country]))),RANK(INDIRECT((_xlfn.XLOOKUP(H13,map_country[Genre],map_country[MIN+1])),FALSE),INDIRECT((_xlfn.XLOOKUP(H13,map_country[Genre],map_country[rand]))),1)),"")</f>
        <v/>
      </c>
      <c r="AM13" t="str">
        <f t="array" ref="AM13">IF(SUM(COUNTIF(H13,{"*Deep*";"*Bass*";"*Slap*"})),"Cool,Upbeat,Dark",IF(SUM(COUNTIF(H13,{"*Lo-Fi*"})),"Sexy,Relaxing,Romantic",IF(SUM(COUNTIF(H13,{"*Tech*"})),"Cool,Upbeat,Dark",IF(SUM(COUNTIF(H13,{"*Indie/Chill Dance*"})),"Cool,Upbeat,Light",IF(SUM(COUNTIF(H13,{"*Piano*"})),"Cool,Upbeat,Light",IF(SUM(COUNTIF(H13,{"*EDM*"})),"Cool,Upbeat,Happy Mood",IF(H13="","","")))))))</f>
        <v>Sexy,Relaxing,Romantic</v>
      </c>
      <c r="AN13" t="str">
        <f t="array" ref="AN13">IF(SUM(COUNTIF(H13,{"*Deep*";"*Bass*";"*Slap*"})),"Hard &amp; Heavy,Chilling Out &amp; Lounging,Happy &amp; Upbeat",IF(SUM(COUNTIF(H13,{"*Lo-Fi*"})),"Work, Study &amp; Reading,Chilling Out &amp; Lounging,Relaxed &amp; Laid Back",IF(SUM(COUNTIF(H13,{"*Tech*"})),"Hard &amp; Heavy,Chilling Out &amp; Lounging,Happy &amp; Upbeat",IF(SUM(COUNTIF(H13,{"*Indie/Chill Dance*"})),"Hard &amp; Heavy,Chilling Out &amp; Lounging,Happy &amp; Upbeat",IF(SUM(COUNTIF(H13,{"*Piano*"})),"Hard &amp; Heavy,Chilling Out &amp; Lounging,Happy &amp; Upbeat",IF(SUM(COUNTIF(H13,{"*EDM*"})),"Hard &amp; Heavy,Chilling Out &amp; Lounging,Happy &amp; Upbeat",IF(H13="","","")))))))</f>
        <v>Work, Study &amp; Reading,Chilling Out &amp; Lounging,Relaxed &amp; Laid Back</v>
      </c>
      <c r="AP13" s="9" t="str">
        <f t="shared" si="6"/>
        <v>Jerry Of Everything, Lo - Fi Music Rudolph, Floating Blue</v>
      </c>
      <c r="AQ13" s="9" t="str">
        <f ca="1">IFERROR(_xlfn.TEXTBEFORE(AP13,","),AP13)</f>
        <v>Jerry Of Everything, Lo - Fi Music Rudolph, Floating Blue</v>
      </c>
      <c r="AR13" s="9" t="str">
        <f ca="1">IFERROR(TRIM(SUBSTITUTE(SUBSTITUTE(SUBSTITUTE(SUBSTITUTE(_xlfn.TEXTAFTER(AP13,",",1),AS13,""),AT13,""),AU13,""),",","")),"")</f>
        <v/>
      </c>
      <c r="AS13" s="9" t="str">
        <f ca="1">IFERROR(SUBSTITUTE(SUBSTITUTE(SUBSTITUTE(_xlfn.TEXTAFTER(AP13,",",2),AT13,""),",",""),AU13,""),"")</f>
        <v/>
      </c>
      <c r="AT13" s="9" t="str">
        <f ca="1">IFERROR(SUBSTITUTE(SUBSTITUTE(_xlfn.TEXTAFTER(AP13,",",3),AU13,""),",",""),"")</f>
        <v/>
      </c>
      <c r="AU13" s="9" t="str">
        <f ca="1">IFERROR(_xlfn.TEXTAFTER(AP13,",",4),"")</f>
        <v/>
      </c>
      <c r="AX13" t="s">
        <v>40</v>
      </c>
      <c r="BD13" t="s">
        <v>54</v>
      </c>
      <c r="BE13" t="s">
        <v>121</v>
      </c>
      <c r="BF13" t="s">
        <v>122</v>
      </c>
      <c r="BG13" t="str">
        <f>+map_location[[#This Row],[rand]]</f>
        <v>slap[rand]</v>
      </c>
      <c r="BH13" t="str">
        <f>"R"&amp;ROW(BT3)&amp;"C"&amp;COLUMN(BT3)</f>
        <v>R3C72</v>
      </c>
      <c r="BI13" t="str">
        <f>"R"&amp;ROW(BT4)&amp;"C"&amp;COLUMN(BT4)</f>
        <v>R4C72</v>
      </c>
      <c r="BJ13" t="str">
        <f>"R"&amp;ROW(BT5)&amp;"C"&amp;COLUMN(BT5)</f>
        <v>R5C72</v>
      </c>
    </row>
    <row r="14" spans="1:319" x14ac:dyDescent="0.25">
      <c r="A14" t="s">
        <v>114</v>
      </c>
      <c r="B14" t="s">
        <v>115</v>
      </c>
      <c r="D14" t="s">
        <v>116</v>
      </c>
      <c r="E14" t="s">
        <v>117</v>
      </c>
      <c r="F14" s="3">
        <v>5063010719435</v>
      </c>
      <c r="G14" t="s">
        <v>118</v>
      </c>
      <c r="H14" s="7" t="s">
        <v>33</v>
      </c>
      <c r="I14" t="s">
        <v>34</v>
      </c>
      <c r="J14" t="s">
        <v>119</v>
      </c>
      <c r="K14" t="s">
        <v>120</v>
      </c>
      <c r="L14" t="s">
        <v>37</v>
      </c>
      <c r="O14">
        <v>3</v>
      </c>
      <c r="P14" t="str">
        <f t="shared" si="0"/>
        <v/>
      </c>
      <c r="Q14" t="str">
        <f t="shared" si="1"/>
        <v/>
      </c>
      <c r="R14" t="str">
        <f t="shared" si="2"/>
        <v/>
      </c>
      <c r="S14" t="str">
        <f t="array" ref="S14">IF(SUM(COUNTIF(H14,{"*Deep*";"*Bass*";"*Slap*"})),"Other:Deep House",IF(SUM(COUNTIF(H14,{"*Lo-Fi*"})),"Other:Lo-Fi",IF(SUM(COUNTIF(H14,{"*Tech*"})),"Other:Tech House",IF(SUM(COUNTIF(H14,{"*Indie/Chill Dance*"})),"Other:Indie/Chill Dance",IF(SUM(COUNTIF(H14,{"*Piano*"})),"Other:Piano House",IF(SUM(COUNTIF(H14,{"*EDM*"})),"edm dance",IF(H14="","","")))))))</f>
        <v>Other:Lo-Fi</v>
      </c>
      <c r="T14" t="str">
        <f t="array" ref="T14">IF(SUM(COUNTIF(H14,{"*Deep*";"*Bass*";"*Slap*"})),"energetic",IF(SUM(COUNTIF(H14,{"*Lo-Fi*"})),"calm",IF(SUM(COUNTIF(H14,{"*Tech*"})),"energetic",IF(SUM(COUNTIF(H14,{"*Indie/Chill Dance*"})),"chillout",IF(SUM(COUNTIF(H14,{"*Piano*"})),"energetic",IF(SUM(COUNTIF(H14,{"*EDM*"})),"energetic",IF(H14="","","")))))))</f>
        <v>calm</v>
      </c>
      <c r="U14" t="str">
        <f t="array" ref="U14">IF(SUM(COUNTIF(H14,{"*Tech*";"*EDM*";"*Indie*";"*Deep*";"*Piano*";"*Slap*";"*Brazilian Bass*"})),"Song would perfectly fit in any dance mood playlist! Label will invest up to 5000 EUR advertising on facebook and instagram ads aswell as promoting it over label and label partners playlists, radio stations and press.",IF(SUM(COUNTIF(H14,{"*Lo-Fi*"})),"Song would perfectly fit in any Lo-Fi mood playlist! Label will invest up to 5000 EUR advertising on facebook and instagram ads aswell as promoting it over label and label partners playlists, radio stations and press.",IF(H14="","","")))</f>
        <v>Song would perfectly fit in any Lo-Fi mood playlist! Label will invest up to 5000 EUR advertising on facebook and instagram ads aswell as promoting it over label and label partners playlists, radio stations and press.</v>
      </c>
      <c r="V14" t="str">
        <f t="shared" si="3"/>
        <v/>
      </c>
      <c r="W14" t="str">
        <f t="shared" si="7"/>
        <v>Indie &amp; Alternative</v>
      </c>
      <c r="X14" t="str">
        <f t="shared" si="8"/>
        <v>Instrumental only</v>
      </c>
      <c r="Z14" t="str">
        <f t="array" aca="1" ref="Z14" ca="1">+IFERROR(INDEX(INDIRECT((_xlfn.XLOOKUP(H14,map_location[Genre],map_location[location]))),RANK(INDIRECT((_xlfn.XLOOKUP(H14,map_location[Genre],map_location[MIN+1])),FALSE),INDIRECT((_xlfn.XLOOKUP(H14,map_location[Genre],map_location[rand]))),1)),"")</f>
        <v/>
      </c>
      <c r="AA14" t="str">
        <f t="array" ref="AA14">IF(SUM(COUNTIF(H14,{"*Deep*";"*Bass*";"*Slap*"})),"**Deep House**House**Dance**",IF(SUM(COUNTIF(H14,{"*Lo-Fi*"})),"**Lo-Fi Pop**Lo-Fi Beats**Lo-Fi**",IF(SUM(COUNTIF(H14,{"*Tech*"})),"**Deep House**Tech House**Dance**",IF(SUM(COUNTIF(H14,{"*Indie/Chill Dance*"})),"**Indie Dance**Indie Electronic**Dance Pop**",IF(SUM(COUNTIF(H14,{"*Piano*"})),"**House**Electro house**Melodic House**",IF(SUM(COUNTIF(H14,{"*EDM*"})),"**EDM**Electro house**Dance Pop**",IF(H14="","","")))))))</f>
        <v>**Lo-Fi Pop**Lo-Fi Beats**Lo-Fi**</v>
      </c>
      <c r="AB14" t="str">
        <f t="array" ref="AB14">IF(SUM(COUNTIF(H14,{"*Deep*";"*Bass*";"*Slap*"})),"Energetic,Happy",IF(SUM(COUNTIF(H14,{"*Lo-Fi*"})),"Romantic,Chill",IF(SUM(COUNTIF(H14,{"*Tech*"})),"Energetic,Happy",IF(SUM(COUNTIF(H14,{"*Indie/Chill Dance*"})),"Energetic,Chill",IF(SUM(COUNTIF(H14,{"*Piano*"})),"Energetic,Happy",IF(SUM(COUNTIF(H14,{"*EDM*"})),"Energetic,Happy",IF(H14="","","")))))))</f>
        <v>Romantic,Chill</v>
      </c>
      <c r="AC14" t="str">
        <f t="array" ref="AC14">IF(SUM(COUNTIF(H14,{"*Deep*";"*Bass*";"*Slap*"})),"None of these",IF(SUM(COUNTIF(H14,{"*Lo-Fi*"})),"Holiday,Beats",IF(SUM(COUNTIF(H14,{"*Tech*"})),"None of these",IF(SUM(COUNTIF(H14,{"*Indie/Chill Dance*"})),"None of these",IF(SUM(COUNTIF(H14,{"*Piano*"})),"None of these",IF(SUM(COUNTIF(H14,{"*EDM*"})),"None of these",IF(H14="","","")))))))</f>
        <v>Holiday,Beats</v>
      </c>
      <c r="AD14" t="str">
        <f t="array" ref="AD14">IF(SUM(COUNTIF(H14,{"*Deep*";"*Bass*";"*Slap*"})),"Samples,Synthesizer,Bass Guitar,Piano,Drum Kit,Electric Guitar",IF(SUM(COUNTIF(H14,{"*Lo-Fi*"})),"Samples,Synthesizer,Bass Guitar,Piano,Drum Kit,Electric Guitar",IF(SUM(COUNTIF(H14,{"*Tech*"})),"Samples,Synthesizer,Bass Guitar,Piano,Drum Kit,Electric Guitar",IF(SUM(COUNTIF(H14,{"*Indie/Chill Dance*"})),"Samples,Synthesizer,Bass Guitar,Piano,Drum Kit,Electric Guitar",IF(SUM(COUNTIF(H14,{"*Piano*"})),"Samples,Synthesizer,Bass Guitar,Piano,Drum Kit,Electric Guitar",IF(SUM(COUNTIF(H14,{"*EDM*"})),"Samples,Synthesizer,Bass Guitar,Piano,Drum Kit,Electric Guitar",IF(H14="","","")))))))</f>
        <v>Samples,Synthesizer,Bass Guitar,Piano,Drum Kit,Electric Guitar</v>
      </c>
      <c r="AE14" t="str">
        <f t="array" ref="AE14">IF(N14="Cover","Yes",IF(SUM(COUNTIF(N14,{"*Radio/Extended*";"*Radio*";"*Remix*"})),"No",""))</f>
        <v/>
      </c>
      <c r="AF14" t="str">
        <f t="array" ref="AF14">IF(N14="Remix","Yes",IF(SUM(COUNTIF(N14,{"*Radio/Extended*";"*Radio*";"*Cover*"})),"No",""))</f>
        <v/>
      </c>
      <c r="AG14" t="str">
        <f t="shared" si="4"/>
        <v>**English**</v>
      </c>
      <c r="AH14" t="s">
        <v>179</v>
      </c>
      <c r="AI14" t="str">
        <f t="array" ref="AI14">IF(SUM(COUNTIF(H14,{"*Deep*";"*Bass*";"*Slap*"})),"**Deep House**Progressive House**House**",IF(SUM(COUNTIF(H14,{"*Lo-Fi*"})),"**Lo-Fi Hip Hop**Indie &amp; Lo Fi**Lounge**",IF(SUM(COUNTIF(H14,{"*Tech*"})),"**Tech House**Techno**Future House**",IF(SUM(COUNTIF(H14,{"*Indie/Chill Dance*"})),"**Chill Electronic**Indie Dance**Ambient**",IF(SUM(COUNTIF(H14,{"*Piano*"})),"**Progressive House**House**Dance Pop**",IF(SUM(COUNTIF(H14,{"*EDM*"})),"**Progressive House**House**EDM**",IF(H14="","","")))))))</f>
        <v>**Lo-Fi Hip Hop**Indie &amp; Lo Fi**Lounge**</v>
      </c>
      <c r="AJ14" t="str">
        <f t="shared" si="5"/>
        <v/>
      </c>
      <c r="AK14" t="str">
        <f t="array" ref="AK14">IF(SUM(COUNTIF(H14,{"*Deep*";"*Bass*";"*Slap*"})),"**Tiësto**Imanbek**",IF(SUM(COUNTIF(H14,{"*Lo-Fi*"})),"**L.Dre**Yasumu**",IF(SUM(COUNTIF(H14,{"*Tech*"})),"**Mau P**Gorgon City**",IF(SUM(COUNTIF(H14,{"*Indie/Chill Dance*"})),"**Felix Jaehn**Lost Frequencies**",IF(SUM(COUNTIF(H14,{"*Piano*"})),"**Avicii**Eric Prydz**",IF(SUM(COUNTIF(H14,{"*EDM*"})),"**David Guetta**Swedish House Mafia**",IF(H14="","","")))))))</f>
        <v>**L.Dre**Yasumu**</v>
      </c>
      <c r="AL14" t="str">
        <f t="array" aca="1" ref="AL14" ca="1">+IFERROR(INDEX(INDIRECT((_xlfn.XLOOKUP(H14,map_country[Genre],map_country[country]))),RANK(INDIRECT((_xlfn.XLOOKUP(H14,map_country[Genre],map_country[MIN+1])),FALSE),INDIRECT((_xlfn.XLOOKUP(H14,map_country[Genre],map_country[rand]))),1)),"")</f>
        <v/>
      </c>
      <c r="AM14" t="str">
        <f t="array" ref="AM14">IF(SUM(COUNTIF(H14,{"*Deep*";"*Bass*";"*Slap*"})),"Cool,Upbeat,Dark",IF(SUM(COUNTIF(H14,{"*Lo-Fi*"})),"Sexy,Relaxing,Romantic",IF(SUM(COUNTIF(H14,{"*Tech*"})),"Cool,Upbeat,Dark",IF(SUM(COUNTIF(H14,{"*Indie/Chill Dance*"})),"Cool,Upbeat,Light",IF(SUM(COUNTIF(H14,{"*Piano*"})),"Cool,Upbeat,Light",IF(SUM(COUNTIF(H14,{"*EDM*"})),"Cool,Upbeat,Happy Mood",IF(H14="","","")))))))</f>
        <v>Sexy,Relaxing,Romantic</v>
      </c>
      <c r="AN14" t="str">
        <f t="array" ref="AN14">IF(SUM(COUNTIF(H14,{"*Deep*";"*Bass*";"*Slap*"})),"Hard &amp; Heavy,Chilling Out &amp; Lounging,Happy &amp; Upbeat",IF(SUM(COUNTIF(H14,{"*Lo-Fi*"})),"Work, Study &amp; Reading,Chilling Out &amp; Lounging,Relaxed &amp; Laid Back",IF(SUM(COUNTIF(H14,{"*Tech*"})),"Hard &amp; Heavy,Chilling Out &amp; Lounging,Happy &amp; Upbeat",IF(SUM(COUNTIF(H14,{"*Indie/Chill Dance*"})),"Hard &amp; Heavy,Chilling Out &amp; Lounging,Happy &amp; Upbeat",IF(SUM(COUNTIF(H14,{"*Piano*"})),"Hard &amp; Heavy,Chilling Out &amp; Lounging,Happy &amp; Upbeat",IF(SUM(COUNTIF(H14,{"*EDM*"})),"Hard &amp; Heavy,Chilling Out &amp; Lounging,Happy &amp; Upbeat",IF(H14="","","")))))))</f>
        <v>Work, Study &amp; Reading,Chilling Out &amp; Lounging,Relaxed &amp; Laid Back</v>
      </c>
      <c r="AP14" s="9" t="str">
        <f t="shared" si="6"/>
        <v>Jerry Of Everything, Lo - Fi Music Rudolph, Floating Blue</v>
      </c>
      <c r="AR14" s="9" t="str">
        <f ca="1">IFERROR(TRIM(SUBSTITUTE(SUBSTITUTE(SUBSTITUTE(SUBSTITUTE(_xlfn.TEXTAFTER(AP14,",",1),AS14,""),AT14,""),AU14,""),",","")),"")</f>
        <v/>
      </c>
      <c r="AS14" s="9" t="str">
        <f ca="1">IFERROR(SUBSTITUTE(SUBSTITUTE(SUBSTITUTE(_xlfn.TEXTAFTER(AP14,",",2),AT14,""),",",""),AU14,""),"")</f>
        <v/>
      </c>
      <c r="AT14" s="9" t="str">
        <f ca="1">IFERROR(SUBSTITUTE(SUBSTITUTE(_xlfn.TEXTAFTER(AP14,",",3),AU14,""),",",""),"")</f>
        <v/>
      </c>
      <c r="AU14" s="9" t="str">
        <f ca="1">IFERROR(_xlfn.TEXTAFTER(AP14,",",4),"")</f>
        <v/>
      </c>
      <c r="AX14" t="s">
        <v>40</v>
      </c>
      <c r="BD14" t="s">
        <v>56</v>
      </c>
      <c r="BE14" t="s">
        <v>123</v>
      </c>
      <c r="BF14" t="s">
        <v>124</v>
      </c>
      <c r="BG14" t="str">
        <f>+map_location[[#This Row],[rand]]</f>
        <v>brazilian[rand]</v>
      </c>
      <c r="BH14" t="str">
        <f>"R"&amp;ROW(BX3)&amp;"C"&amp;COLUMN(BX3)</f>
        <v>R3C76</v>
      </c>
      <c r="BI14" t="str">
        <f>"R"&amp;ROW(BX4)&amp;"C"&amp;COLUMN(BX4)</f>
        <v>R4C76</v>
      </c>
      <c r="BJ14" t="str">
        <f>"R"&amp;ROW(BX5)&amp;"C"&amp;COLUMN(BX5)</f>
        <v>R5C76</v>
      </c>
    </row>
    <row r="15" spans="1:319" x14ac:dyDescent="0.25">
      <c r="A15" t="s">
        <v>114</v>
      </c>
      <c r="B15" t="s">
        <v>115</v>
      </c>
      <c r="D15" t="s">
        <v>116</v>
      </c>
      <c r="E15" t="s">
        <v>117</v>
      </c>
      <c r="F15" s="3">
        <v>5063010719435</v>
      </c>
      <c r="G15" t="s">
        <v>118</v>
      </c>
      <c r="H15" s="7" t="s">
        <v>33</v>
      </c>
      <c r="I15" t="s">
        <v>34</v>
      </c>
      <c r="J15" t="s">
        <v>119</v>
      </c>
      <c r="K15" t="s">
        <v>120</v>
      </c>
      <c r="L15" t="s">
        <v>37</v>
      </c>
      <c r="O15">
        <v>3</v>
      </c>
      <c r="P15" t="str">
        <f t="shared" si="0"/>
        <v/>
      </c>
      <c r="Q15" t="str">
        <f t="shared" si="1"/>
        <v/>
      </c>
      <c r="R15" t="str">
        <f t="shared" si="2"/>
        <v/>
      </c>
      <c r="S15" t="str">
        <f t="array" ref="S15">IF(SUM(COUNTIF(H15,{"*Deep*";"*Bass*";"*Slap*"})),"Other:Deep House",IF(SUM(COUNTIF(H15,{"*Lo-Fi*"})),"Other:Lo-Fi",IF(SUM(COUNTIF(H15,{"*Tech*"})),"Other:Tech House",IF(SUM(COUNTIF(H15,{"*Indie/Chill Dance*"})),"Other:Indie/Chill Dance",IF(SUM(COUNTIF(H15,{"*Piano*"})),"Other:Piano House",IF(SUM(COUNTIF(H15,{"*EDM*"})),"edm dance",IF(H15="","","")))))))</f>
        <v>Other:Lo-Fi</v>
      </c>
      <c r="T15" t="str">
        <f t="array" ref="T15">IF(SUM(COUNTIF(H15,{"*Deep*";"*Bass*";"*Slap*"})),"energetic",IF(SUM(COUNTIF(H15,{"*Lo-Fi*"})),"calm",IF(SUM(COUNTIF(H15,{"*Tech*"})),"energetic",IF(SUM(COUNTIF(H15,{"*Indie/Chill Dance*"})),"chillout",IF(SUM(COUNTIF(H15,{"*Piano*"})),"energetic",IF(SUM(COUNTIF(H15,{"*EDM*"})),"energetic",IF(H15="","","")))))))</f>
        <v>calm</v>
      </c>
      <c r="U15" t="str">
        <f t="array" ref="U15">IF(SUM(COUNTIF(H15,{"*Tech*";"*EDM*";"*Indie*";"*Deep*";"*Piano*";"*Slap*";"*Brazilian Bass*"})),"Song would perfectly fit in any dance mood playlist! Label will invest up to 5000 EUR advertising on facebook and instagram ads aswell as promoting it over label and label partners playlists, radio stations and press.",IF(SUM(COUNTIF(H15,{"*Lo-Fi*"})),"Song would perfectly fit in any Lo-Fi mood playlist! Label will invest up to 5000 EUR advertising on facebook and instagram ads aswell as promoting it over label and label partners playlists, radio stations and press.",IF(H15="","","")))</f>
        <v>Song would perfectly fit in any Lo-Fi mood playlist! Label will invest up to 5000 EUR advertising on facebook and instagram ads aswell as promoting it over label and label partners playlists, radio stations and press.</v>
      </c>
      <c r="V15" t="str">
        <f t="shared" si="3"/>
        <v/>
      </c>
      <c r="W15" t="str">
        <f t="shared" si="7"/>
        <v>Indie &amp; Alternative</v>
      </c>
      <c r="X15" t="str">
        <f t="shared" si="8"/>
        <v>Instrumental only</v>
      </c>
      <c r="Z15" t="str">
        <f t="array" aca="1" ref="Z15" ca="1">+IFERROR(INDEX(INDIRECT((_xlfn.XLOOKUP(H15,map_location[Genre],map_location[location]))),RANK(INDIRECT((_xlfn.XLOOKUP(H15,map_location[Genre],map_location[MIN+1])),FALSE),INDIRECT((_xlfn.XLOOKUP(H15,map_location[Genre],map_location[rand]))),1)),"")</f>
        <v/>
      </c>
      <c r="AA15" t="str">
        <f t="array" ref="AA15">IF(SUM(COUNTIF(H15,{"*Deep*";"*Bass*";"*Slap*"})),"**Deep House**House**Dance**",IF(SUM(COUNTIF(H15,{"*Lo-Fi*"})),"**Lo-Fi Pop**Lo-Fi Beats**Lo-Fi**",IF(SUM(COUNTIF(H15,{"*Tech*"})),"**Deep House**Tech House**Dance**",IF(SUM(COUNTIF(H15,{"*Indie/Chill Dance*"})),"**Indie Dance**Indie Electronic**Dance Pop**",IF(SUM(COUNTIF(H15,{"*Piano*"})),"**House**Electro house**Melodic House**",IF(SUM(COUNTIF(H15,{"*EDM*"})),"**EDM**Electro house**Dance Pop**",IF(H15="","","")))))))</f>
        <v>**Lo-Fi Pop**Lo-Fi Beats**Lo-Fi**</v>
      </c>
      <c r="AB15" t="str">
        <f t="array" ref="AB15">IF(SUM(COUNTIF(H15,{"*Deep*";"*Bass*";"*Slap*"})),"Energetic,Happy",IF(SUM(COUNTIF(H15,{"*Lo-Fi*"})),"Romantic,Chill",IF(SUM(COUNTIF(H15,{"*Tech*"})),"Energetic,Happy",IF(SUM(COUNTIF(H15,{"*Indie/Chill Dance*"})),"Energetic,Chill",IF(SUM(COUNTIF(H15,{"*Piano*"})),"Energetic,Happy",IF(SUM(COUNTIF(H15,{"*EDM*"})),"Energetic,Happy",IF(H15="","","")))))))</f>
        <v>Romantic,Chill</v>
      </c>
      <c r="AC15" t="str">
        <f t="array" ref="AC15">IF(SUM(COUNTIF(H15,{"*Deep*";"*Bass*";"*Slap*"})),"None of these",IF(SUM(COUNTIF(H15,{"*Lo-Fi*"})),"Holiday,Beats",IF(SUM(COUNTIF(H15,{"*Tech*"})),"None of these",IF(SUM(COUNTIF(H15,{"*Indie/Chill Dance*"})),"None of these",IF(SUM(COUNTIF(H15,{"*Piano*"})),"None of these",IF(SUM(COUNTIF(H15,{"*EDM*"})),"None of these",IF(H15="","","")))))))</f>
        <v>Holiday,Beats</v>
      </c>
      <c r="AD15" t="str">
        <f t="array" ref="AD15">IF(SUM(COUNTIF(H15,{"*Deep*";"*Bass*";"*Slap*"})),"Samples,Synthesizer,Bass Guitar,Piano,Drum Kit,Electric Guitar",IF(SUM(COUNTIF(H15,{"*Lo-Fi*"})),"Samples,Synthesizer,Bass Guitar,Piano,Drum Kit,Electric Guitar",IF(SUM(COUNTIF(H15,{"*Tech*"})),"Samples,Synthesizer,Bass Guitar,Piano,Drum Kit,Electric Guitar",IF(SUM(COUNTIF(H15,{"*Indie/Chill Dance*"})),"Samples,Synthesizer,Bass Guitar,Piano,Drum Kit,Electric Guitar",IF(SUM(COUNTIF(H15,{"*Piano*"})),"Samples,Synthesizer,Bass Guitar,Piano,Drum Kit,Electric Guitar",IF(SUM(COUNTIF(H15,{"*EDM*"})),"Samples,Synthesizer,Bass Guitar,Piano,Drum Kit,Electric Guitar",IF(H15="","","")))))))</f>
        <v>Samples,Synthesizer,Bass Guitar,Piano,Drum Kit,Electric Guitar</v>
      </c>
      <c r="AE15" t="str">
        <f t="array" ref="AE15">IF(N15="Cover","Yes",IF(SUM(COUNTIF(N15,{"*Radio/Extended*";"*Radio*";"*Remix*"})),"No",""))</f>
        <v/>
      </c>
      <c r="AF15" t="str">
        <f t="array" ref="AF15">IF(N15="Remix","Yes",IF(SUM(COUNTIF(N15,{"*Radio/Extended*";"*Radio*";"*Cover*"})),"No",""))</f>
        <v/>
      </c>
      <c r="AG15" t="str">
        <f t="shared" si="4"/>
        <v>**English**</v>
      </c>
      <c r="AH15" t="s">
        <v>179</v>
      </c>
      <c r="AI15" t="str">
        <f t="array" ref="AI15">IF(SUM(COUNTIF(H15,{"*Deep*";"*Bass*";"*Slap*"})),"**Deep House**Progressive House**House**",IF(SUM(COUNTIF(H15,{"*Lo-Fi*"})),"**Lo-Fi Hip Hop**Indie &amp; Lo Fi**Lounge**",IF(SUM(COUNTIF(H15,{"*Tech*"})),"**Tech House**Techno**Future House**",IF(SUM(COUNTIF(H15,{"*Indie/Chill Dance*"})),"**Chill Electronic**Indie Dance**Ambient**",IF(SUM(COUNTIF(H15,{"*Piano*"})),"**Progressive House**House**Dance Pop**",IF(SUM(COUNTIF(H15,{"*EDM*"})),"**Progressive House**House**EDM**",IF(H15="","","")))))))</f>
        <v>**Lo-Fi Hip Hop**Indie &amp; Lo Fi**Lounge**</v>
      </c>
      <c r="AJ15" t="str">
        <f t="shared" si="5"/>
        <v/>
      </c>
      <c r="AK15" t="str">
        <f t="array" ref="AK15">IF(SUM(COUNTIF(H15,{"*Deep*";"*Bass*";"*Slap*"})),"**Tiësto**Imanbek**",IF(SUM(COUNTIF(H15,{"*Lo-Fi*"})),"**L.Dre**Yasumu**",IF(SUM(COUNTIF(H15,{"*Tech*"})),"**Mau P**Gorgon City**",IF(SUM(COUNTIF(H15,{"*Indie/Chill Dance*"})),"**Felix Jaehn**Lost Frequencies**",IF(SUM(COUNTIF(H15,{"*Piano*"})),"**Avicii**Eric Prydz**",IF(SUM(COUNTIF(H15,{"*EDM*"})),"**David Guetta**Swedish House Mafia**",IF(H15="","","")))))))</f>
        <v>**L.Dre**Yasumu**</v>
      </c>
      <c r="AL15" t="str">
        <f t="array" aca="1" ref="AL15" ca="1">+IFERROR(INDEX(INDIRECT((_xlfn.XLOOKUP(H15,map_country[Genre],map_country[country]))),RANK(INDIRECT((_xlfn.XLOOKUP(H15,map_country[Genre],map_country[MIN+1])),FALSE),INDIRECT((_xlfn.XLOOKUP(H15,map_country[Genre],map_country[rand]))),1)),"")</f>
        <v/>
      </c>
      <c r="AM15" t="str">
        <f t="array" ref="AM15">IF(SUM(COUNTIF(H15,{"*Deep*";"*Bass*";"*Slap*"})),"Cool,Upbeat,Dark",IF(SUM(COUNTIF(H15,{"*Lo-Fi*"})),"Sexy,Relaxing,Romantic",IF(SUM(COUNTIF(H15,{"*Tech*"})),"Cool,Upbeat,Dark",IF(SUM(COUNTIF(H15,{"*Indie/Chill Dance*"})),"Cool,Upbeat,Light",IF(SUM(COUNTIF(H15,{"*Piano*"})),"Cool,Upbeat,Light",IF(SUM(COUNTIF(H15,{"*EDM*"})),"Cool,Upbeat,Happy Mood",IF(H15="","","")))))))</f>
        <v>Sexy,Relaxing,Romantic</v>
      </c>
      <c r="AN15" t="str">
        <f t="array" ref="AN15">IF(SUM(COUNTIF(H15,{"*Deep*";"*Bass*";"*Slap*"})),"Hard &amp; Heavy,Chilling Out &amp; Lounging,Happy &amp; Upbeat",IF(SUM(COUNTIF(H15,{"*Lo-Fi*"})),"Work, Study &amp; Reading,Chilling Out &amp; Lounging,Relaxed &amp; Laid Back",IF(SUM(COUNTIF(H15,{"*Tech*"})),"Hard &amp; Heavy,Chilling Out &amp; Lounging,Happy &amp; Upbeat",IF(SUM(COUNTIF(H15,{"*Indie/Chill Dance*"})),"Hard &amp; Heavy,Chilling Out &amp; Lounging,Happy &amp; Upbeat",IF(SUM(COUNTIF(H15,{"*Piano*"})),"Hard &amp; Heavy,Chilling Out &amp; Lounging,Happy &amp; Upbeat",IF(SUM(COUNTIF(H15,{"*EDM*"})),"Hard &amp; Heavy,Chilling Out &amp; Lounging,Happy &amp; Upbeat",IF(H15="","","")))))))</f>
        <v>Work, Study &amp; Reading,Chilling Out &amp; Lounging,Relaxed &amp; Laid Back</v>
      </c>
      <c r="AP15" s="9" t="str">
        <f t="shared" si="6"/>
        <v>Jerry Of Everything, Lo - Fi Music Rudolph, Floating Blue</v>
      </c>
      <c r="AQ15" s="9" t="str">
        <f ca="1">IFERROR(_xlfn.TEXTBEFORE(AP15,","),AP15)</f>
        <v>Jerry Of Everything, Lo - Fi Music Rudolph, Floating Blue</v>
      </c>
      <c r="AR15" s="9" t="str">
        <f ca="1">IFERROR(TRIM(SUBSTITUTE(SUBSTITUTE(SUBSTITUTE(SUBSTITUTE(_xlfn.TEXTAFTER(AP15,",",1),AS15,""),AT15,""),AU15,""),",","")),"")</f>
        <v/>
      </c>
      <c r="AS15" s="9" t="str">
        <f ca="1">IFERROR(SUBSTITUTE(SUBSTITUTE(SUBSTITUTE(_xlfn.TEXTAFTER(AP15,",",2),AT15,""),",",""),AU15,""),"")</f>
        <v/>
      </c>
      <c r="AT15" s="9" t="str">
        <f ca="1">IFERROR(SUBSTITUTE(SUBSTITUTE(_xlfn.TEXTAFTER(AP15,",",3),AU15,""),",",""),"")</f>
        <v/>
      </c>
      <c r="AU15" s="9" t="str">
        <f ca="1">IFERROR(_xlfn.TEXTAFTER(AP15,",",4),"")</f>
        <v/>
      </c>
      <c r="AX15" t="s">
        <v>40</v>
      </c>
      <c r="BD15" t="s">
        <v>57</v>
      </c>
      <c r="BE15" t="s">
        <v>125</v>
      </c>
      <c r="BF15" t="s">
        <v>126</v>
      </c>
      <c r="BG15" t="str">
        <f>+map_location[[#This Row],[rand]]</f>
        <v>edm[rand]</v>
      </c>
      <c r="BH15" t="str">
        <f>"R"&amp;ROW(CB3)&amp;"C"&amp;COLUMN(CB3)</f>
        <v>R3C80</v>
      </c>
      <c r="BI15" t="str">
        <f>"R"&amp;ROW(CB4)&amp;"C"&amp;COLUMN(CB4)</f>
        <v>R4C80</v>
      </c>
      <c r="BJ15" t="str">
        <f>"R"&amp;ROW(CB5)&amp;"C"&amp;COLUMN(CB5)</f>
        <v>R5C80</v>
      </c>
    </row>
    <row r="16" spans="1:319" x14ac:dyDescent="0.25">
      <c r="A16" t="s">
        <v>114</v>
      </c>
      <c r="B16" t="s">
        <v>115</v>
      </c>
      <c r="D16" t="s">
        <v>116</v>
      </c>
      <c r="E16" t="s">
        <v>117</v>
      </c>
      <c r="F16" s="3">
        <v>5063010719435</v>
      </c>
      <c r="G16" t="s">
        <v>118</v>
      </c>
      <c r="H16" s="7" t="s">
        <v>33</v>
      </c>
      <c r="I16" t="s">
        <v>34</v>
      </c>
      <c r="J16" t="s">
        <v>119</v>
      </c>
      <c r="K16" t="s">
        <v>120</v>
      </c>
      <c r="L16" t="s">
        <v>37</v>
      </c>
      <c r="O16">
        <v>3</v>
      </c>
      <c r="P16" t="str">
        <f t="shared" si="0"/>
        <v/>
      </c>
      <c r="Q16" t="str">
        <f t="shared" si="1"/>
        <v/>
      </c>
      <c r="R16" t="str">
        <f t="shared" si="2"/>
        <v/>
      </c>
      <c r="S16" t="str">
        <f t="array" ref="S16">IF(SUM(COUNTIF(H16,{"*Deep*";"*Bass*";"*Slap*"})),"Other:Deep House",IF(SUM(COUNTIF(H16,{"*Lo-Fi*"})),"Other:Lo-Fi",IF(SUM(COUNTIF(H16,{"*Tech*"})),"Other:Tech House",IF(SUM(COUNTIF(H16,{"*Indie/Chill Dance*"})),"Other:Indie/Chill Dance",IF(SUM(COUNTIF(H16,{"*Piano*"})),"Other:Piano House",IF(SUM(COUNTIF(H16,{"*EDM*"})),"edm dance",IF(H16="","","")))))))</f>
        <v>Other:Lo-Fi</v>
      </c>
      <c r="T16" t="str">
        <f t="array" ref="T16">IF(SUM(COUNTIF(H16,{"*Deep*";"*Bass*";"*Slap*"})),"energetic",IF(SUM(COUNTIF(H16,{"*Lo-Fi*"})),"calm",IF(SUM(COUNTIF(H16,{"*Tech*"})),"energetic",IF(SUM(COUNTIF(H16,{"*Indie/Chill Dance*"})),"chillout",IF(SUM(COUNTIF(H16,{"*Piano*"})),"energetic",IF(SUM(COUNTIF(H16,{"*EDM*"})),"energetic",IF(H16="","","")))))))</f>
        <v>calm</v>
      </c>
      <c r="U16" t="str">
        <f t="array" ref="U16">IF(SUM(COUNTIF(H16,{"*Tech*";"*EDM*";"*Indie*";"*Deep*";"*Piano*";"*Slap*";"*Brazilian Bass*"})),"Song would perfectly fit in any dance mood playlist! Label will invest up to 5000 EUR advertising on facebook and instagram ads aswell as promoting it over label and label partners playlists, radio stations and press.",IF(SUM(COUNTIF(H16,{"*Lo-Fi*"})),"Song would perfectly fit in any Lo-Fi mood playlist! Label will invest up to 5000 EUR advertising on facebook and instagram ads aswell as promoting it over label and label partners playlists, radio stations and press.",IF(H16="","","")))</f>
        <v>Song would perfectly fit in any Lo-Fi mood playlist! Label will invest up to 5000 EUR advertising on facebook and instagram ads aswell as promoting it over label and label partners playlists, radio stations and press.</v>
      </c>
      <c r="V16" t="str">
        <f t="shared" si="3"/>
        <v/>
      </c>
      <c r="W16" t="str">
        <f t="shared" si="7"/>
        <v>Indie &amp; Alternative</v>
      </c>
      <c r="X16" t="str">
        <f t="shared" si="8"/>
        <v>Instrumental only</v>
      </c>
      <c r="Z16" t="str">
        <f t="array" aca="1" ref="Z16" ca="1">+IFERROR(INDEX(INDIRECT((_xlfn.XLOOKUP(H16,map_location[Genre],map_location[location]))),RANK(INDIRECT((_xlfn.XLOOKUP(H16,map_location[Genre],map_location[MIN+1])),FALSE),INDIRECT((_xlfn.XLOOKUP(H16,map_location[Genre],map_location[rand]))),1)),"")</f>
        <v/>
      </c>
      <c r="AA16" t="str">
        <f t="array" ref="AA16">IF(SUM(COUNTIF(H16,{"*Deep*";"*Bass*";"*Slap*"})),"**Deep House**House**Dance**",IF(SUM(COUNTIF(H16,{"*Lo-Fi*"})),"**Lo-Fi Pop**Lo-Fi Beats**Lo-Fi**",IF(SUM(COUNTIF(H16,{"*Tech*"})),"**Deep House**Tech House**Dance**",IF(SUM(COUNTIF(H16,{"*Indie/Chill Dance*"})),"**Indie Dance**Indie Electronic**Dance Pop**",IF(SUM(COUNTIF(H16,{"*Piano*"})),"**House**Electro house**Melodic House**",IF(SUM(COUNTIF(H16,{"*EDM*"})),"**EDM**Electro house**Dance Pop**",IF(H16="","","")))))))</f>
        <v>**Lo-Fi Pop**Lo-Fi Beats**Lo-Fi**</v>
      </c>
      <c r="AB16" t="str">
        <f t="array" ref="AB16">IF(SUM(COUNTIF(H16,{"*Deep*";"*Bass*";"*Slap*"})),"Energetic,Happy",IF(SUM(COUNTIF(H16,{"*Lo-Fi*"})),"Romantic,Chill",IF(SUM(COUNTIF(H16,{"*Tech*"})),"Energetic,Happy",IF(SUM(COUNTIF(H16,{"*Indie/Chill Dance*"})),"Energetic,Chill",IF(SUM(COUNTIF(H16,{"*Piano*"})),"Energetic,Happy",IF(SUM(COUNTIF(H16,{"*EDM*"})),"Energetic,Happy",IF(H16="","","")))))))</f>
        <v>Romantic,Chill</v>
      </c>
      <c r="AC16" t="str">
        <f t="array" ref="AC16">IF(SUM(COUNTIF(H16,{"*Deep*";"*Bass*";"*Slap*"})),"None of these",IF(SUM(COUNTIF(H16,{"*Lo-Fi*"})),"Holiday,Beats",IF(SUM(COUNTIF(H16,{"*Tech*"})),"None of these",IF(SUM(COUNTIF(H16,{"*Indie/Chill Dance*"})),"None of these",IF(SUM(COUNTIF(H16,{"*Piano*"})),"None of these",IF(SUM(COUNTIF(H16,{"*EDM*"})),"None of these",IF(H16="","","")))))))</f>
        <v>Holiday,Beats</v>
      </c>
      <c r="AD16" t="str">
        <f t="array" ref="AD16">IF(SUM(COUNTIF(H16,{"*Deep*";"*Bass*";"*Slap*"})),"Samples,Synthesizer,Bass Guitar,Piano,Drum Kit,Electric Guitar",IF(SUM(COUNTIF(H16,{"*Lo-Fi*"})),"Samples,Synthesizer,Bass Guitar,Piano,Drum Kit,Electric Guitar",IF(SUM(COUNTIF(H16,{"*Tech*"})),"Samples,Synthesizer,Bass Guitar,Piano,Drum Kit,Electric Guitar",IF(SUM(COUNTIF(H16,{"*Indie/Chill Dance*"})),"Samples,Synthesizer,Bass Guitar,Piano,Drum Kit,Electric Guitar",IF(SUM(COUNTIF(H16,{"*Piano*"})),"Samples,Synthesizer,Bass Guitar,Piano,Drum Kit,Electric Guitar",IF(SUM(COUNTIF(H16,{"*EDM*"})),"Samples,Synthesizer,Bass Guitar,Piano,Drum Kit,Electric Guitar",IF(H16="","","")))))))</f>
        <v>Samples,Synthesizer,Bass Guitar,Piano,Drum Kit,Electric Guitar</v>
      </c>
      <c r="AE16" t="str">
        <f t="array" ref="AE16">IF(N16="Cover","Yes",IF(SUM(COUNTIF(N16,{"*Radio/Extended*";"*Radio*";"*Remix*"})),"No",""))</f>
        <v/>
      </c>
      <c r="AF16" t="str">
        <f t="array" ref="AF16">IF(N16="Remix","Yes",IF(SUM(COUNTIF(N16,{"*Radio/Extended*";"*Radio*";"*Cover*"})),"No",""))</f>
        <v/>
      </c>
      <c r="AG16" t="str">
        <f t="shared" si="4"/>
        <v>**English**</v>
      </c>
      <c r="AH16" t="s">
        <v>179</v>
      </c>
      <c r="AI16" t="str">
        <f t="array" ref="AI16">IF(SUM(COUNTIF(H16,{"*Deep*";"*Bass*";"*Slap*"})),"**Deep House**Progressive House**House**",IF(SUM(COUNTIF(H16,{"*Lo-Fi*"})),"**Lo-Fi Hip Hop**Indie &amp; Lo Fi**Lounge**",IF(SUM(COUNTIF(H16,{"*Tech*"})),"**Tech House**Techno**Future House**",IF(SUM(COUNTIF(H16,{"*Indie/Chill Dance*"})),"**Chill Electronic**Indie Dance**Ambient**",IF(SUM(COUNTIF(H16,{"*Piano*"})),"**Progressive House**House**Dance Pop**",IF(SUM(COUNTIF(H16,{"*EDM*"})),"**Progressive House**House**EDM**",IF(H16="","","")))))))</f>
        <v>**Lo-Fi Hip Hop**Indie &amp; Lo Fi**Lounge**</v>
      </c>
      <c r="AJ16" t="str">
        <f t="shared" si="5"/>
        <v/>
      </c>
      <c r="AK16" t="str">
        <f t="array" ref="AK16">IF(SUM(COUNTIF(H16,{"*Deep*";"*Bass*";"*Slap*"})),"**Tiësto**Imanbek**",IF(SUM(COUNTIF(H16,{"*Lo-Fi*"})),"**L.Dre**Yasumu**",IF(SUM(COUNTIF(H16,{"*Tech*"})),"**Mau P**Gorgon City**",IF(SUM(COUNTIF(H16,{"*Indie/Chill Dance*"})),"**Felix Jaehn**Lost Frequencies**",IF(SUM(COUNTIF(H16,{"*Piano*"})),"**Avicii**Eric Prydz**",IF(SUM(COUNTIF(H16,{"*EDM*"})),"**David Guetta**Swedish House Mafia**",IF(H16="","","")))))))</f>
        <v>**L.Dre**Yasumu**</v>
      </c>
      <c r="AL16" t="str">
        <f t="array" aca="1" ref="AL16" ca="1">+IFERROR(INDEX(INDIRECT((_xlfn.XLOOKUP(H16,map_country[Genre],map_country[country]))),RANK(INDIRECT((_xlfn.XLOOKUP(H16,map_country[Genre],map_country[MIN+1])),FALSE),INDIRECT((_xlfn.XLOOKUP(H16,map_country[Genre],map_country[rand]))),1)),"")</f>
        <v/>
      </c>
      <c r="AM16" t="str">
        <f t="array" ref="AM16">IF(SUM(COUNTIF(H16,{"*Deep*";"*Bass*";"*Slap*"})),"Cool,Upbeat,Dark",IF(SUM(COUNTIF(H16,{"*Lo-Fi*"})),"Sexy,Relaxing,Romantic",IF(SUM(COUNTIF(H16,{"*Tech*"})),"Cool,Upbeat,Dark",IF(SUM(COUNTIF(H16,{"*Indie/Chill Dance*"})),"Cool,Upbeat,Light",IF(SUM(COUNTIF(H16,{"*Piano*"})),"Cool,Upbeat,Light",IF(SUM(COUNTIF(H16,{"*EDM*"})),"Cool,Upbeat,Happy Mood",IF(H16="","","")))))))</f>
        <v>Sexy,Relaxing,Romantic</v>
      </c>
      <c r="AN16" t="str">
        <f t="array" ref="AN16">IF(SUM(COUNTIF(H16,{"*Deep*";"*Bass*";"*Slap*"})),"Hard &amp; Heavy,Chilling Out &amp; Lounging,Happy &amp; Upbeat",IF(SUM(COUNTIF(H16,{"*Lo-Fi*"})),"Work, Study &amp; Reading,Chilling Out &amp; Lounging,Relaxed &amp; Laid Back",IF(SUM(COUNTIF(H16,{"*Tech*"})),"Hard &amp; Heavy,Chilling Out &amp; Lounging,Happy &amp; Upbeat",IF(SUM(COUNTIF(H16,{"*Indie/Chill Dance*"})),"Hard &amp; Heavy,Chilling Out &amp; Lounging,Happy &amp; Upbeat",IF(SUM(COUNTIF(H16,{"*Piano*"})),"Hard &amp; Heavy,Chilling Out &amp; Lounging,Happy &amp; Upbeat",IF(SUM(COUNTIF(H16,{"*EDM*"})),"Hard &amp; Heavy,Chilling Out &amp; Lounging,Happy &amp; Upbeat",IF(H16="","","")))))))</f>
        <v>Work, Study &amp; Reading,Chilling Out &amp; Lounging,Relaxed &amp; Laid Back</v>
      </c>
      <c r="AP16" s="9" t="str">
        <f t="shared" si="6"/>
        <v>Jerry Of Everything, Lo - Fi Music Rudolph, Floating Blue</v>
      </c>
      <c r="AQ16" s="9" t="str">
        <f ca="1">IFERROR(_xlfn.TEXTBEFORE(AP16,","),AP16)</f>
        <v>Jerry Of Everything, Lo - Fi Music Rudolph, Floating Blue</v>
      </c>
      <c r="AR16" s="9" t="str">
        <f ca="1">IFERROR(TRIM(SUBSTITUTE(SUBSTITUTE(SUBSTITUTE(SUBSTITUTE(_xlfn.TEXTAFTER(AP16,",",1),AS16,""),AT16,""),AU16,""),",","")),"")</f>
        <v/>
      </c>
      <c r="AS16" s="9" t="str">
        <f ca="1">IFERROR(SUBSTITUTE(SUBSTITUTE(SUBSTITUTE(_xlfn.TEXTAFTER(AP16,",",2),AT16,""),",",""),AU16,""),"")</f>
        <v/>
      </c>
      <c r="AT16" s="9" t="str">
        <f ca="1">IFERROR(SUBSTITUTE(SUBSTITUTE(_xlfn.TEXTAFTER(AP16,",",3),AU16,""),",",""),"")</f>
        <v/>
      </c>
      <c r="AU16" s="9" t="str">
        <f ca="1">IFERROR(_xlfn.TEXTAFTER(AP16,",",4),"")</f>
        <v/>
      </c>
      <c r="AX16" t="s">
        <v>40</v>
      </c>
    </row>
    <row r="17" spans="6:72" x14ac:dyDescent="0.25">
      <c r="F17" s="3"/>
      <c r="H17" s="7"/>
      <c r="P17" t="str">
        <f t="shared" si="0"/>
        <v/>
      </c>
      <c r="Q17" t="str">
        <f t="shared" si="1"/>
        <v/>
      </c>
      <c r="R17" t="str">
        <f t="shared" si="2"/>
        <v/>
      </c>
      <c r="S17" t="str">
        <f t="array" ref="S17">IF(SUM(COUNTIF(H17,{"*Deep*";"*Bass*";"*Slap*"})),"Other:Deep House",IF(SUM(COUNTIF(H17,{"*Lo-Fi*"})),"Other:Lo-Fi",IF(SUM(COUNTIF(H17,{"*Tech*"})),"Other:Tech House",IF(SUM(COUNTIF(H17,{"*Indie/Chill Dance*"})),"Other:Indie/Chill Dance",IF(SUM(COUNTIF(H17,{"*Piano*"})),"Other:Piano House",IF(SUM(COUNTIF(H17,{"*EDM*"})),"edm dance",IF(H17="","","")))))))</f>
        <v/>
      </c>
      <c r="T17" t="str">
        <f t="array" ref="T17">IF(SUM(COUNTIF(H17,{"*Deep*";"*Bass*";"*Slap*"})),"energetic",IF(SUM(COUNTIF(H17,{"*Lo-Fi*"})),"calm",IF(SUM(COUNTIF(H17,{"*Tech*"})),"energetic",IF(SUM(COUNTIF(H17,{"*Indie/Chill Dance*"})),"chillout",IF(SUM(COUNTIF(H17,{"*Piano*"})),"energetic",IF(SUM(COUNTIF(H17,{"*EDM*"})),"energetic",IF(H17="","","")))))))</f>
        <v/>
      </c>
      <c r="U17" t="str">
        <f t="array" ref="U17">IF(SUM(COUNTIF(H17,{"*Tech*";"*EDM*";"*Indie*";"*Deep*";"*Piano*";"*Slap*";"*Brazilian Bass*"})),"Song would perfectly fit in any dance mood playlist! Label will invest up to 5000 EUR advertising on facebook and instagram ads aswell as promoting it over label and label partners playlists, radio stations and press.",IF(SUM(COUNTIF(H17,{"*Lo-Fi*"})),"Song would perfectly fit in any Lo-Fi mood playlist! Label will invest up to 5000 EUR advertising on facebook and instagram ads aswell as promoting it over label and label partners playlists, radio stations and press.",IF(H17="","","")))</f>
        <v/>
      </c>
      <c r="V17" t="str">
        <f t="shared" si="3"/>
        <v/>
      </c>
      <c r="W17" t="str">
        <f t="shared" si="7"/>
        <v/>
      </c>
      <c r="X17" t="str">
        <f t="shared" si="8"/>
        <v/>
      </c>
      <c r="Z17" t="str">
        <f t="array" aca="1" ref="Z17" ca="1">+IFERROR(INDEX(INDIRECT((_xlfn.XLOOKUP(H17,map_location[Genre],map_location[location]))),RANK(INDIRECT((_xlfn.XLOOKUP(H17,map_location[Genre],map_location[MIN+2])),FALSE),INDIRECT((_xlfn.XLOOKUP(H17,map_location[Genre],map_location[rand]))),1)),"")</f>
        <v/>
      </c>
      <c r="AA17" t="str">
        <f t="array" ref="AA17">IF(SUM(COUNTIF(H17,{"*Deep*";"*Bass*";"*Slap*"})),"**Deep House**House**Dance**",IF(SUM(COUNTIF(H17,{"*Lo-Fi*"})),"**Lo-Fi Pop**Lo-Fi Beats**Lo-Fi**",IF(SUM(COUNTIF(H17,{"*Tech*"})),"**Deep House**Tech House**Dance**",IF(SUM(COUNTIF(H17,{"*Indie/Chill Dance*"})),"**Indie Dance**Indie Electronic**Dance Pop**",IF(SUM(COUNTIF(H17,{"*Piano*"})),"**House**Electro house**Melodic House**",IF(SUM(COUNTIF(H17,{"*EDM*"})),"**EDM**Electro house**Dance Pop**",IF(H17="","","")))))))</f>
        <v/>
      </c>
      <c r="AB17" t="str">
        <f t="array" ref="AB17">IF(SUM(COUNTIF(H17,{"*Deep*";"*Bass*";"*Slap*"})),"Energetic,Happy",IF(SUM(COUNTIF(H17,{"*Lo-Fi*"})),"Romantic,Chill",IF(SUM(COUNTIF(H17,{"*Tech*"})),"Energetic,Happy",IF(SUM(COUNTIF(H17,{"*Indie/Chill Dance*"})),"Energetic,Chill",IF(SUM(COUNTIF(H17,{"*Piano*"})),"Energetic,Happy",IF(SUM(COUNTIF(H17,{"*EDM*"})),"Energetic,Happy",IF(H17="","","")))))))</f>
        <v/>
      </c>
      <c r="AC17" t="str">
        <f t="array" ref="AC17">IF(SUM(COUNTIF(H17,{"*Deep*";"*Bass*";"*Slap*"})),"None of these",IF(SUM(COUNTIF(H17,{"*Lo-Fi*"})),"Holiday,Beats",IF(SUM(COUNTIF(H17,{"*Tech*"})),"None of these",IF(SUM(COUNTIF(H17,{"*Indie/Chill Dance*"})),"None of these",IF(SUM(COUNTIF(H17,{"*Piano*"})),"None of these",IF(SUM(COUNTIF(H17,{"*EDM*"})),"None of these",IF(H17="","","")))))))</f>
        <v/>
      </c>
      <c r="AD17" t="str">
        <f t="array" ref="AD17">IF(SUM(COUNTIF(H17,{"*Deep*";"*Bass*";"*Slap*"})),"Samples,Synthesizer,Bass Guitar,Piano,Drum Kit,Electric Guitar",IF(SUM(COUNTIF(H17,{"*Lo-Fi*"})),"Samples,Synthesizer,Bass Guitar,Piano,Drum Kit,Electric Guitar",IF(SUM(COUNTIF(H17,{"*Tech*"})),"Samples,Synthesizer,Bass Guitar,Piano,Drum Kit,Electric Guitar",IF(SUM(COUNTIF(H17,{"*Indie/Chill Dance*"})),"Samples,Synthesizer,Bass Guitar,Piano,Drum Kit,Electric Guitar",IF(SUM(COUNTIF(H17,{"*Piano*"})),"Samples,Synthesizer,Bass Guitar,Piano,Drum Kit,Electric Guitar",IF(SUM(COUNTIF(H17,{"*EDM*"})),"Samples,Synthesizer,Bass Guitar,Piano,Drum Kit,Electric Guitar",IF(H17="","","")))))))</f>
        <v/>
      </c>
      <c r="AE17" t="str">
        <f t="array" ref="AE17">IF(N17="Cover","Yes",IF(SUM(COUNTIF(N17,{"*Radio/Extended*";"*Radio*";"*Remix*"})),"No",""))</f>
        <v/>
      </c>
      <c r="AF17" t="str">
        <f t="array" ref="AF17">IF(N17="Remix","Yes",IF(SUM(COUNTIF(N17,{"*Radio/Extended*";"*Radio*";"*Cover*"})),"No",""))</f>
        <v/>
      </c>
      <c r="AG17" t="str">
        <f t="shared" si="4"/>
        <v/>
      </c>
      <c r="AH17" t="str">
        <f t="array" aca="1" ref="AH17" ca="1">+TRIM(SUBSTITUTE(SUBSTITUTE(SUBSTITUTE(SUBSTITUTE(IFERROR(AQ17&amp;" "&amp;+_xlfn.XLOOKUP(((SUM(LEN(AP17))-SUM(LEN(SUBSTITUTE(AP17,",",""))))/LEN(",")+1)&amp;H17,#REF!&amp;#REF!,#REF!)&amp;CHAR(34)&amp;B17&amp;CHAR(34)&amp;"!"&amp;_xlfn.XLOOKUP(H17,#REF!,#REF!&amp;#REF!),""),"Second",AR17),"Third",AS17),"Forth",AT17),"Fifth",AU17&amp;" "))</f>
        <v/>
      </c>
      <c r="AI17" t="str">
        <f t="array" ref="AI17">IF(SUM(COUNTIF(H17,{"*Deep*";"*Bass*";"*Slap*"})),"**Deep House**Progressive House**House**",IF(SUM(COUNTIF(H17,{"*Lo-Fi*"})),"**Lo-Fi Hip Hop**Indie &amp; Lo Fi**Lounge**",IF(SUM(COUNTIF(H17,{"*Tech*"})),"**Tech House**Techno**Future House**",IF(SUM(COUNTIF(H17,{"*Indie/Chill Dance*"})),"**Chill Electronic**Indie Dance**Ambient**",IF(SUM(COUNTIF(H17,{"*Piano*"})),"**Progressive House**House**Dance Pop**",IF(SUM(COUNTIF(H17,{"*EDM*"})),"**Progressive House**House**EDM**",IF(H17="","","")))))))</f>
        <v/>
      </c>
      <c r="AJ17" t="str">
        <f t="shared" si="5"/>
        <v/>
      </c>
      <c r="AK17" t="str">
        <f t="array" ref="AK17">IF(SUM(COUNTIF(H17,{"*Deep*";"*Bass*";"*Slap*"})),"**Tiësto**Imanbek**",IF(SUM(COUNTIF(H17,{"*Lo-Fi*"})),"**L.Dre**Yasumu**",IF(SUM(COUNTIF(H17,{"*Tech*"})),"**Mau P**Gorgon City**",IF(SUM(COUNTIF(H17,{"*Indie/Chill Dance*"})),"**Felix Jaehn**Lost Frequencies**",IF(SUM(COUNTIF(H17,{"*Piano*"})),"**Avicii**Eric Prydz**",IF(SUM(COUNTIF(H17,{"*EDM*"})),"**David Guetta**Swedish House Mafia**",IF(H17="","","")))))))</f>
        <v/>
      </c>
      <c r="AL17" t="str">
        <f t="array" aca="1" ref="AL17" ca="1">+IFERROR(INDEX(INDIRECT((_xlfn.XLOOKUP(H17,map_country[Genre],map_country[country]))),RANK(INDIRECT((_xlfn.XLOOKUP(H17,map_country[Genre],map_country[MIN+2])),FALSE),INDIRECT((_xlfn.XLOOKUP(H17,map_country[Genre],map_country[rand]))),1)),"")</f>
        <v/>
      </c>
      <c r="AM17" t="str">
        <f t="array" ref="AM17">IF(SUM(COUNTIF(H17,{"*Deep*";"*Bass*";"*Slap*"})),"Cool,Upbeat,Dark",IF(SUM(COUNTIF(H17,{"*Lo-Fi*"})),"Sexy,Relaxing,Romantic",IF(SUM(COUNTIF(H17,{"*Tech*"})),"Cool,Upbeat,Dark",IF(SUM(COUNTIF(H17,{"*Indie/Chill Dance*"})),"Cool,Upbeat,Light",IF(SUM(COUNTIF(H17,{"*Piano*"})),"Cool,Upbeat,Light",IF(SUM(COUNTIF(H17,{"*EDM*"})),"Cool,Upbeat,Happy Mood",IF(H17="","","")))))))</f>
        <v/>
      </c>
      <c r="AN17" t="str">
        <f t="array" ref="AN17">IF(SUM(COUNTIF(H17,{"*Deep*";"*Bass*";"*Slap*"})),"Hard &amp; Heavy,Chilling Out &amp; Lounging,Happy &amp; Upbeat",IF(SUM(COUNTIF(H17,{"*Lo-Fi*"})),"Work, Study &amp; Reading,Chilling Out &amp; Lounging,Relaxed &amp; Laid Back",IF(SUM(COUNTIF(H17,{"*Tech*"})),"Hard &amp; Heavy,Chilling Out &amp; Lounging,Happy &amp; Upbeat",IF(SUM(COUNTIF(H17,{"*Indie/Chill Dance*"})),"Hard &amp; Heavy,Chilling Out &amp; Lounging,Happy &amp; Upbeat",IF(SUM(COUNTIF(H17,{"*Piano*"})),"Hard &amp; Heavy,Chilling Out &amp; Lounging,Happy &amp; Upbeat",IF(SUM(COUNTIF(H17,{"*EDM*"})),"Hard &amp; Heavy,Chilling Out &amp; Lounging,Happy &amp; Upbeat",IF(H17="","","")))))))</f>
        <v/>
      </c>
      <c r="AP17" s="9" t="str">
        <f t="shared" si="6"/>
        <v/>
      </c>
      <c r="AQ17" s="9" t="str">
        <f ca="1">IFERROR(_xlfn.TEXTBEFORE(AP17,","),AP17)</f>
        <v/>
      </c>
      <c r="AR17" s="9" t="str">
        <f ca="1">IFERROR(TRIM(SUBSTITUTE(SUBSTITUTE(SUBSTITUTE(SUBSTITUTE(_xlfn.TEXTAFTER(AP17,",",1),AS17,""),AT17,""),AU17,""),",","")),"")</f>
        <v/>
      </c>
      <c r="AS17" s="9" t="str">
        <f ca="1">IFERROR(SUBSTITUTE(SUBSTITUTE(SUBSTITUTE(_xlfn.TEXTAFTER(AP17,",",2),AT17,""),",",""),AU17,""),"")</f>
        <v/>
      </c>
      <c r="AT17" s="9" t="str">
        <f ca="1">IFERROR(SUBSTITUTE(SUBSTITUTE(_xlfn.TEXTAFTER(AP17,",",3),AU17,""),",",""),"")</f>
        <v/>
      </c>
      <c r="AU17" s="9" t="str">
        <f ca="1">IFERROR(_xlfn.TEXTAFTER(AP17,",",4),"")</f>
        <v/>
      </c>
      <c r="AX17" t="s">
        <v>40</v>
      </c>
    </row>
    <row r="18" spans="6:72" x14ac:dyDescent="0.25">
      <c r="F18" s="3"/>
      <c r="H18" s="7"/>
      <c r="P18" t="str">
        <f t="shared" si="0"/>
        <v/>
      </c>
      <c r="Q18" t="str">
        <f t="shared" si="1"/>
        <v/>
      </c>
      <c r="R18" t="str">
        <f t="shared" si="2"/>
        <v/>
      </c>
      <c r="S18" t="str">
        <f t="array" ref="S18">IF(SUM(COUNTIF(H18,{"*Deep*";"*Bass*";"*Slap*"})),"Other:Deep House",IF(SUM(COUNTIF(H18,{"*Lo-Fi*"})),"Other:Lo-Fi",IF(SUM(COUNTIF(H18,{"*Tech*"})),"Other:Tech House",IF(SUM(COUNTIF(H18,{"*Indie/Chill Dance*"})),"Other:Indie/Chill Dance",IF(SUM(COUNTIF(H18,{"*Piano*"})),"Other:Piano House",IF(SUM(COUNTIF(H18,{"*EDM*"})),"edm dance",IF(H18="","","")))))))</f>
        <v/>
      </c>
      <c r="T18" t="str">
        <f t="array" ref="T18">IF(SUM(COUNTIF(H18,{"*Deep*";"*Bass*";"*Slap*"})),"energetic",IF(SUM(COUNTIF(H18,{"*Lo-Fi*"})),"calm",IF(SUM(COUNTIF(H18,{"*Tech*"})),"energetic",IF(SUM(COUNTIF(H18,{"*Indie/Chill Dance*"})),"chillout",IF(SUM(COUNTIF(H18,{"*Piano*"})),"energetic",IF(SUM(COUNTIF(H18,{"*EDM*"})),"energetic",IF(H18="","","")))))))</f>
        <v/>
      </c>
      <c r="U18" t="str">
        <f t="array" ref="U18">IF(SUM(COUNTIF(H18,{"*Tech*";"*EDM*";"*Indie*";"*Deep*";"*Piano*";"*Slap*";"*Brazilian Bass*"})),"Song would perfectly fit in any dance mood playlist! Label will invest up to 5000 EUR advertising on facebook and instagram ads aswell as promoting it over label and label partners playlists, radio stations and press.",IF(SUM(COUNTIF(H18,{"*Lo-Fi*"})),"Song would perfectly fit in any Lo-Fi mood playlist! Label will invest up to 5000 EUR advertising on facebook and instagram ads aswell as promoting it over label and label partners playlists, radio stations and press.",IF(H18="","","")))</f>
        <v/>
      </c>
      <c r="V18" t="str">
        <f t="shared" si="3"/>
        <v/>
      </c>
      <c r="W18" t="str">
        <f t="shared" si="7"/>
        <v/>
      </c>
      <c r="X18" t="str">
        <f t="shared" si="8"/>
        <v/>
      </c>
      <c r="Z18" t="str">
        <f t="array" aca="1" ref="Z18" ca="1">+IFERROR(INDEX(INDIRECT((_xlfn.XLOOKUP(H18,map_location[Genre],map_location[location]))),RANK(INDIRECT((_xlfn.XLOOKUP(H18,map_location[Genre],map_location[MIN+2])),FALSE),INDIRECT((_xlfn.XLOOKUP(H18,map_location[Genre],map_location[rand]))),1)),"")</f>
        <v/>
      </c>
      <c r="AA18" t="str">
        <f t="array" ref="AA18">IF(SUM(COUNTIF(H18,{"*Deep*";"*Bass*";"*Slap*"})),"**Deep House**House**Dance**",IF(SUM(COUNTIF(H18,{"*Lo-Fi*"})),"**Lo-Fi Pop**Lo-Fi Beats**Lo-Fi**",IF(SUM(COUNTIF(H18,{"*Tech*"})),"**Deep House**Tech House**Dance**",IF(SUM(COUNTIF(H18,{"*Indie/Chill Dance*"})),"**Indie Dance**Indie Electronic**Dance Pop**",IF(SUM(COUNTIF(H18,{"*Piano*"})),"**House**Electro house**Melodic House**",IF(SUM(COUNTIF(H18,{"*EDM*"})),"**EDM**Electro house**Dance Pop**",IF(H18="","","")))))))</f>
        <v/>
      </c>
      <c r="AB18" t="str">
        <f t="array" ref="AB18">IF(SUM(COUNTIF(H18,{"*Deep*";"*Bass*";"*Slap*"})),"Energetic,Happy",IF(SUM(COUNTIF(H18,{"*Lo-Fi*"})),"Romantic,Chill",IF(SUM(COUNTIF(H18,{"*Tech*"})),"Energetic,Happy",IF(SUM(COUNTIF(H18,{"*Indie/Chill Dance*"})),"Energetic,Chill",IF(SUM(COUNTIF(H18,{"*Piano*"})),"Energetic,Happy",IF(SUM(COUNTIF(H18,{"*EDM*"})),"Energetic,Happy",IF(H18="","","")))))))</f>
        <v/>
      </c>
      <c r="AC18" t="str">
        <f t="array" ref="AC18">IF(SUM(COUNTIF(H18,{"*Deep*";"*Bass*";"*Slap*"})),"None of these",IF(SUM(COUNTIF(H18,{"*Lo-Fi*"})),"Holiday,Beats",IF(SUM(COUNTIF(H18,{"*Tech*"})),"None of these",IF(SUM(COUNTIF(H18,{"*Indie/Chill Dance*"})),"None of these",IF(SUM(COUNTIF(H18,{"*Piano*"})),"None of these",IF(SUM(COUNTIF(H18,{"*EDM*"})),"None of these",IF(H18="","","")))))))</f>
        <v/>
      </c>
      <c r="AD18" t="str">
        <f t="array" ref="AD18">IF(SUM(COUNTIF(H18,{"*Deep*";"*Bass*";"*Slap*"})),"Samples,Synthesizer,Bass Guitar,Piano,Drum Kit,Electric Guitar",IF(SUM(COUNTIF(H18,{"*Lo-Fi*"})),"Samples,Synthesizer,Bass Guitar,Piano,Drum Kit,Electric Guitar",IF(SUM(COUNTIF(H18,{"*Tech*"})),"Samples,Synthesizer,Bass Guitar,Piano,Drum Kit,Electric Guitar",IF(SUM(COUNTIF(H18,{"*Indie/Chill Dance*"})),"Samples,Synthesizer,Bass Guitar,Piano,Drum Kit,Electric Guitar",IF(SUM(COUNTIF(H18,{"*Piano*"})),"Samples,Synthesizer,Bass Guitar,Piano,Drum Kit,Electric Guitar",IF(SUM(COUNTIF(H18,{"*EDM*"})),"Samples,Synthesizer,Bass Guitar,Piano,Drum Kit,Electric Guitar",IF(H18="","","")))))))</f>
        <v/>
      </c>
      <c r="AE18" t="str">
        <f t="array" ref="AE18">IF(N18="Cover","Yes",IF(SUM(COUNTIF(N18,{"*Radio/Extended*";"*Radio*";"*Remix*"})),"No",""))</f>
        <v/>
      </c>
      <c r="AF18" t="str">
        <f t="array" ref="AF18">IF(N18="Remix","Yes",IF(SUM(COUNTIF(N18,{"*Radio/Extended*";"*Radio*";"*Cover*"})),"No",""))</f>
        <v/>
      </c>
      <c r="AG18" t="str">
        <f t="shared" si="4"/>
        <v/>
      </c>
      <c r="AH18" t="str">
        <f t="array" aca="1" ref="AH18" ca="1">+TRIM(SUBSTITUTE(SUBSTITUTE(SUBSTITUTE(SUBSTITUTE(IFERROR(AQ18&amp;" "&amp;+_xlfn.XLOOKUP(((SUM(LEN(AP18))-SUM(LEN(SUBSTITUTE(AP18,",",""))))/LEN(",")+1)&amp;H18,#REF!&amp;#REF!,#REF!)&amp;CHAR(34)&amp;B18&amp;CHAR(34)&amp;"!"&amp;_xlfn.XLOOKUP(H18,#REF!,#REF!&amp;#REF!),""),"Second",AR18),"Third",AS18),"Forth",AT18),"Fifth",AU18&amp;" "))</f>
        <v/>
      </c>
      <c r="AI18" t="str">
        <f t="array" ref="AI18">IF(SUM(COUNTIF(H18,{"*Deep*";"*Bass*";"*Slap*"})),"**Deep House**Progressive House**House**",IF(SUM(COUNTIF(H18,{"*Lo-Fi*"})),"**Lo-Fi Hip Hop**Indie &amp; Lo Fi**Lounge**",IF(SUM(COUNTIF(H18,{"*Tech*"})),"**Tech House**Techno**Future House**",IF(SUM(COUNTIF(H18,{"*Indie/Chill Dance*"})),"**Chill Electronic**Indie Dance**Ambient**",IF(SUM(COUNTIF(H18,{"*Piano*"})),"**Progressive House**House**Dance Pop**",IF(SUM(COUNTIF(H18,{"*EDM*"})),"**Progressive House**House**EDM**",IF(H18="","","")))))))</f>
        <v/>
      </c>
      <c r="AJ18" t="str">
        <f t="shared" si="5"/>
        <v/>
      </c>
      <c r="AK18" t="str">
        <f t="array" ref="AK18">IF(SUM(COUNTIF(H18,{"*Deep*";"*Bass*";"*Slap*"})),"**Tiësto**Imanbek**",IF(SUM(COUNTIF(H18,{"*Lo-Fi*"})),"**L.Dre**Yasumu**",IF(SUM(COUNTIF(H18,{"*Tech*"})),"**Mau P**Gorgon City**",IF(SUM(COUNTIF(H18,{"*Indie/Chill Dance*"})),"**Felix Jaehn**Lost Frequencies**",IF(SUM(COUNTIF(H18,{"*Piano*"})),"**Avicii**Eric Prydz**",IF(SUM(COUNTIF(H18,{"*EDM*"})),"**David Guetta**Swedish House Mafia**",IF(H18="","","")))))))</f>
        <v/>
      </c>
      <c r="AL18" t="str">
        <f t="array" aca="1" ref="AL18" ca="1">+IFERROR(INDEX(INDIRECT((_xlfn.XLOOKUP(H18,map_country[Genre],map_country[country]))),RANK(INDIRECT((_xlfn.XLOOKUP(H18,map_country[Genre],map_country[MIN+2])),FALSE),INDIRECT((_xlfn.XLOOKUP(H18,map_country[Genre],map_country[rand]))),1)),"")</f>
        <v/>
      </c>
      <c r="AM18" t="str">
        <f t="array" ref="AM18">IF(SUM(COUNTIF(H18,{"*Deep*";"*Bass*";"*Slap*"})),"Cool,Upbeat,Dark",IF(SUM(COUNTIF(H18,{"*Lo-Fi*"})),"Sexy,Relaxing,Romantic",IF(SUM(COUNTIF(H18,{"*Tech*"})),"Cool,Upbeat,Dark",IF(SUM(COUNTIF(H18,{"*Indie/Chill Dance*"})),"Cool,Upbeat,Light",IF(SUM(COUNTIF(H18,{"*Piano*"})),"Cool,Upbeat,Light",IF(SUM(COUNTIF(H18,{"*EDM*"})),"Cool,Upbeat,Happy Mood",IF(H18="","","")))))))</f>
        <v/>
      </c>
      <c r="AN18" t="str">
        <f t="array" ref="AN18">IF(SUM(COUNTIF(H18,{"*Deep*";"*Bass*";"*Slap*"})),"Hard &amp; Heavy,Chilling Out &amp; Lounging,Happy &amp; Upbeat",IF(SUM(COUNTIF(H18,{"*Lo-Fi*"})),"Work, Study &amp; Reading,Chilling Out &amp; Lounging,Relaxed &amp; Laid Back",IF(SUM(COUNTIF(H18,{"*Tech*"})),"Hard &amp; Heavy,Chilling Out &amp; Lounging,Happy &amp; Upbeat",IF(SUM(COUNTIF(H18,{"*Indie/Chill Dance*"})),"Hard &amp; Heavy,Chilling Out &amp; Lounging,Happy &amp; Upbeat",IF(SUM(COUNTIF(H18,{"*Piano*"})),"Hard &amp; Heavy,Chilling Out &amp; Lounging,Happy &amp; Upbeat",IF(SUM(COUNTIF(H18,{"*EDM*"})),"Hard &amp; Heavy,Chilling Out &amp; Lounging,Happy &amp; Upbeat",IF(H18="","","")))))))</f>
        <v/>
      </c>
      <c r="AP18" s="9" t="str">
        <f t="shared" si="6"/>
        <v/>
      </c>
      <c r="AQ18" s="9" t="str">
        <f ca="1">IFERROR(_xlfn.TEXTBEFORE(AP18,","),AP18)</f>
        <v/>
      </c>
      <c r="AR18" s="9" t="str">
        <f ca="1">IFERROR(TRIM(SUBSTITUTE(SUBSTITUTE(SUBSTITUTE(SUBSTITUTE(_xlfn.TEXTAFTER(AP18,",",1),AS18,""),AT18,""),AU18,""),",","")),"")</f>
        <v/>
      </c>
      <c r="AS18" s="9" t="str">
        <f ca="1">IFERROR(SUBSTITUTE(SUBSTITUTE(SUBSTITUTE(_xlfn.TEXTAFTER(AP18,",",2),AT18,""),",",""),AU18,""),"")</f>
        <v/>
      </c>
      <c r="AT18" s="9" t="str">
        <f ca="1">IFERROR(SUBSTITUTE(SUBSTITUTE(_xlfn.TEXTAFTER(AP18,",",3),AU18,""),",",""),"")</f>
        <v/>
      </c>
      <c r="AU18" s="9" t="str">
        <f ca="1">IFERROR(_xlfn.TEXTAFTER(AP18,",",4),"")</f>
        <v/>
      </c>
      <c r="AX18" t="s">
        <v>40</v>
      </c>
    </row>
    <row r="19" spans="6:72" x14ac:dyDescent="0.25">
      <c r="F19" s="3"/>
      <c r="H19" s="7"/>
      <c r="P19" t="str">
        <f t="shared" si="0"/>
        <v/>
      </c>
      <c r="Q19" t="str">
        <f t="shared" si="1"/>
        <v/>
      </c>
      <c r="R19" t="str">
        <f t="shared" si="2"/>
        <v/>
      </c>
      <c r="S19" t="str">
        <f t="array" ref="S19">IF(SUM(COUNTIF(H19,{"*Deep*";"*Bass*";"*Slap*"})),"Other:Deep House",IF(SUM(COUNTIF(H19,{"*Lo-Fi*"})),"Other:Lo-Fi",IF(SUM(COUNTIF(H19,{"*Tech*"})),"Other:Tech House",IF(SUM(COUNTIF(H19,{"*Indie/Chill Dance*"})),"Other:Indie/Chill Dance",IF(SUM(COUNTIF(H19,{"*Piano*"})),"Other:Piano House",IF(SUM(COUNTIF(H19,{"*EDM*"})),"edm dance",IF(H19="","","")))))))</f>
        <v/>
      </c>
      <c r="T19" t="str">
        <f t="array" ref="T19">IF(SUM(COUNTIF(H19,{"*Deep*";"*Bass*";"*Slap*"})),"energetic",IF(SUM(COUNTIF(H19,{"*Lo-Fi*"})),"calm",IF(SUM(COUNTIF(H19,{"*Tech*"})),"energetic",IF(SUM(COUNTIF(H19,{"*Indie/Chill Dance*"})),"chillout",IF(SUM(COUNTIF(H19,{"*Piano*"})),"energetic",IF(SUM(COUNTIF(H19,{"*EDM*"})),"energetic",IF(H19="","","")))))))</f>
        <v/>
      </c>
      <c r="U19" t="str">
        <f t="array" ref="U19">IF(SUM(COUNTIF(H19,{"*Tech*";"*EDM*";"*Indie*";"*Deep*";"*Piano*";"*Slap*";"*Brazilian Bass*"})),"Song would perfectly fit in any dance mood playlist! Label will invest up to 5000 EUR advertising on facebook and instagram ads aswell as promoting it over label and label partners playlists, radio stations and press.",IF(SUM(COUNTIF(H19,{"*Lo-Fi*"})),"Song would perfectly fit in any Lo-Fi mood playlist! Label will invest up to 5000 EUR advertising on facebook and instagram ads aswell as promoting it over label and label partners playlists, radio stations and press.",IF(H19="","","")))</f>
        <v/>
      </c>
      <c r="V19" t="str">
        <f t="shared" si="3"/>
        <v/>
      </c>
      <c r="W19" t="str">
        <f t="shared" si="7"/>
        <v/>
      </c>
      <c r="X19" t="str">
        <f t="shared" si="8"/>
        <v/>
      </c>
      <c r="Z19" t="str">
        <f t="array" aca="1" ref="Z19" ca="1">+IFERROR(INDEX(INDIRECT((_xlfn.XLOOKUP(H19,map_location[Genre],map_location[location]))),RANK(INDIRECT((_xlfn.XLOOKUP(H19,map_location[Genre],map_location[MIN+2])),FALSE),INDIRECT((_xlfn.XLOOKUP(H19,map_location[Genre],map_location[rand]))),1)),"")</f>
        <v/>
      </c>
      <c r="AA19" t="str">
        <f t="array" ref="AA19">IF(SUM(COUNTIF(H19,{"*Deep*";"*Bass*";"*Slap*"})),"**Deep House**House**Dance**",IF(SUM(COUNTIF(H19,{"*Lo-Fi*"})),"**Lo-Fi Pop**Lo-Fi Beats**Lo-Fi**",IF(SUM(COUNTIF(H19,{"*Tech*"})),"**Deep House**Tech House**Dance**",IF(SUM(COUNTIF(H19,{"*Indie/Chill Dance*"})),"**Indie Dance**Indie Electronic**Dance Pop**",IF(SUM(COUNTIF(H19,{"*Piano*"})),"**House**Electro house**Melodic House**",IF(SUM(COUNTIF(H19,{"*EDM*"})),"**EDM**Electro house**Dance Pop**",IF(H19="","","")))))))</f>
        <v/>
      </c>
      <c r="AB19" t="str">
        <f t="array" ref="AB19">IF(SUM(COUNTIF(H19,{"*Deep*";"*Bass*";"*Slap*"})),"Energetic,Happy",IF(SUM(COUNTIF(H19,{"*Lo-Fi*"})),"Romantic,Chill",IF(SUM(COUNTIF(H19,{"*Tech*"})),"Energetic,Happy",IF(SUM(COUNTIF(H19,{"*Indie/Chill Dance*"})),"Energetic,Chill",IF(SUM(COUNTIF(H19,{"*Piano*"})),"Energetic,Happy",IF(SUM(COUNTIF(H19,{"*EDM*"})),"Energetic,Happy",IF(H19="","","")))))))</f>
        <v/>
      </c>
      <c r="AC19" t="str">
        <f t="array" ref="AC19">IF(SUM(COUNTIF(H19,{"*Deep*";"*Bass*";"*Slap*"})),"None of these",IF(SUM(COUNTIF(H19,{"*Lo-Fi*"})),"Holiday,Beats",IF(SUM(COUNTIF(H19,{"*Tech*"})),"None of these",IF(SUM(COUNTIF(H19,{"*Indie/Chill Dance*"})),"None of these",IF(SUM(COUNTIF(H19,{"*Piano*"})),"None of these",IF(SUM(COUNTIF(H19,{"*EDM*"})),"None of these",IF(H19="","","")))))))</f>
        <v/>
      </c>
      <c r="AD19" t="str">
        <f t="array" ref="AD19">IF(SUM(COUNTIF(H19,{"*Deep*";"*Bass*";"*Slap*"})),"Samples,Synthesizer,Bass Guitar,Piano,Drum Kit,Electric Guitar",IF(SUM(COUNTIF(H19,{"*Lo-Fi*"})),"Samples,Synthesizer,Bass Guitar,Piano,Drum Kit,Electric Guitar",IF(SUM(COUNTIF(H19,{"*Tech*"})),"Samples,Synthesizer,Bass Guitar,Piano,Drum Kit,Electric Guitar",IF(SUM(COUNTIF(H19,{"*Indie/Chill Dance*"})),"Samples,Synthesizer,Bass Guitar,Piano,Drum Kit,Electric Guitar",IF(SUM(COUNTIF(H19,{"*Piano*"})),"Samples,Synthesizer,Bass Guitar,Piano,Drum Kit,Electric Guitar",IF(SUM(COUNTIF(H19,{"*EDM*"})),"Samples,Synthesizer,Bass Guitar,Piano,Drum Kit,Electric Guitar",IF(H19="","","")))))))</f>
        <v/>
      </c>
      <c r="AE19" t="str">
        <f t="array" ref="AE19">IF(N19="Cover","Yes",IF(SUM(COUNTIF(N19,{"*Radio/Extended*";"*Radio*";"*Remix*"})),"No",""))</f>
        <v/>
      </c>
      <c r="AF19" t="str">
        <f t="array" ref="AF19">IF(N19="Remix","Yes",IF(SUM(COUNTIF(N19,{"*Radio/Extended*";"*Radio*";"*Cover*"})),"No",""))</f>
        <v/>
      </c>
      <c r="AG19" t="str">
        <f t="shared" si="4"/>
        <v/>
      </c>
      <c r="AH19" t="str">
        <f t="array" aca="1" ref="AH19" ca="1">+TRIM(SUBSTITUTE(SUBSTITUTE(SUBSTITUTE(SUBSTITUTE(IFERROR(AQ19&amp;" "&amp;+_xlfn.XLOOKUP(((SUM(LEN(AP19))-SUM(LEN(SUBSTITUTE(AP19,",",""))))/LEN(",")+1)&amp;H19,#REF!&amp;#REF!,#REF!)&amp;CHAR(34)&amp;B19&amp;CHAR(34)&amp;"!"&amp;_xlfn.XLOOKUP(H19,#REF!,#REF!&amp;#REF!),""),"Second",AR19),"Third",AS19),"Forth",AT19),"Fifth",AU19&amp;" "))</f>
        <v/>
      </c>
      <c r="AI19" t="str">
        <f t="array" ref="AI19">IF(SUM(COUNTIF(H19,{"*Deep*";"*Bass*";"*Slap*"})),"**Deep House**Progressive House**House**",IF(SUM(COUNTIF(H19,{"*Lo-Fi*"})),"**Lo-Fi Hip Hop**Indie &amp; Lo Fi**Lounge**",IF(SUM(COUNTIF(H19,{"*Tech*"})),"**Tech House**Techno**Future House**",IF(SUM(COUNTIF(H19,{"*Indie/Chill Dance*"})),"**Chill Electronic**Indie Dance**Ambient**",IF(SUM(COUNTIF(H19,{"*Piano*"})),"**Progressive House**House**Dance Pop**",IF(SUM(COUNTIF(H19,{"*EDM*"})),"**Progressive House**House**EDM**",IF(H19="","","")))))))</f>
        <v/>
      </c>
      <c r="AJ19" t="str">
        <f t="shared" si="5"/>
        <v/>
      </c>
      <c r="AK19" t="str">
        <f t="array" ref="AK19">IF(SUM(COUNTIF(H19,{"*Deep*";"*Bass*";"*Slap*"})),"**Tiësto**Imanbek**",IF(SUM(COUNTIF(H19,{"*Lo-Fi*"})),"**L.Dre**Yasumu**",IF(SUM(COUNTIF(H19,{"*Tech*"})),"**Mau P**Gorgon City**",IF(SUM(COUNTIF(H19,{"*Indie/Chill Dance*"})),"**Felix Jaehn**Lost Frequencies**",IF(SUM(COUNTIF(H19,{"*Piano*"})),"**Avicii**Eric Prydz**",IF(SUM(COUNTIF(H19,{"*EDM*"})),"**David Guetta**Swedish House Mafia**",IF(H19="","","")))))))</f>
        <v/>
      </c>
      <c r="AL19" t="str">
        <f t="array" aca="1" ref="AL19" ca="1">+IFERROR(INDEX(INDIRECT((_xlfn.XLOOKUP(H19,map_country[Genre],map_country[country]))),RANK(INDIRECT((_xlfn.XLOOKUP(H19,map_country[Genre],map_country[MIN+2])),FALSE),INDIRECT((_xlfn.XLOOKUP(H19,map_country[Genre],map_country[rand]))),1)),"")</f>
        <v/>
      </c>
      <c r="AM19" t="str">
        <f t="array" ref="AM19">IF(SUM(COUNTIF(H19,{"*Deep*";"*Bass*";"*Slap*"})),"Cool,Upbeat,Dark",IF(SUM(COUNTIF(H19,{"*Lo-Fi*"})),"Sexy,Relaxing,Romantic",IF(SUM(COUNTIF(H19,{"*Tech*"})),"Cool,Upbeat,Dark",IF(SUM(COUNTIF(H19,{"*Indie/Chill Dance*"})),"Cool,Upbeat,Light",IF(SUM(COUNTIF(H19,{"*Piano*"})),"Cool,Upbeat,Light",IF(SUM(COUNTIF(H19,{"*EDM*"})),"Cool,Upbeat,Happy Mood",IF(H19="","","")))))))</f>
        <v/>
      </c>
      <c r="AN19" t="str">
        <f t="array" ref="AN19">IF(SUM(COUNTIF(H19,{"*Deep*";"*Bass*";"*Slap*"})),"Hard &amp; Heavy,Chilling Out &amp; Lounging,Happy &amp; Upbeat",IF(SUM(COUNTIF(H19,{"*Lo-Fi*"})),"Work, Study &amp; Reading,Chilling Out &amp; Lounging,Relaxed &amp; Laid Back",IF(SUM(COUNTIF(H19,{"*Tech*"})),"Hard &amp; Heavy,Chilling Out &amp; Lounging,Happy &amp; Upbeat",IF(SUM(COUNTIF(H19,{"*Indie/Chill Dance*"})),"Hard &amp; Heavy,Chilling Out &amp; Lounging,Happy &amp; Upbeat",IF(SUM(COUNTIF(H19,{"*Piano*"})),"Hard &amp; Heavy,Chilling Out &amp; Lounging,Happy &amp; Upbeat",IF(SUM(COUNTIF(H19,{"*EDM*"})),"Hard &amp; Heavy,Chilling Out &amp; Lounging,Happy &amp; Upbeat",IF(H19="","","")))))))</f>
        <v/>
      </c>
      <c r="AP19" s="9" t="str">
        <f t="shared" si="6"/>
        <v/>
      </c>
      <c r="AQ19" s="9" t="str">
        <f ca="1">IFERROR(_xlfn.TEXTBEFORE(AP19,","),AP19)</f>
        <v/>
      </c>
      <c r="AR19" s="9" t="str">
        <f ca="1">IFERROR(TRIM(SUBSTITUTE(SUBSTITUTE(SUBSTITUTE(SUBSTITUTE(_xlfn.TEXTAFTER(AP19,",",1),AS19,""),AT19,""),AU19,""),",","")),"")</f>
        <v/>
      </c>
      <c r="AS19" s="9" t="str">
        <f ca="1">IFERROR(SUBSTITUTE(SUBSTITUTE(SUBSTITUTE(_xlfn.TEXTAFTER(AP19,",",2),AT19,""),",",""),AU19,""),"")</f>
        <v/>
      </c>
      <c r="AT19" s="9" t="str">
        <f ca="1">IFERROR(SUBSTITUTE(SUBSTITUTE(_xlfn.TEXTAFTER(AP19,",",3),AU19,""),",",""),"")</f>
        <v/>
      </c>
      <c r="AU19" s="9" t="str">
        <f ca="1">IFERROR(_xlfn.TEXTAFTER(AP19,",",4),"")</f>
        <v/>
      </c>
      <c r="AX19" t="s">
        <v>40</v>
      </c>
    </row>
    <row r="20" spans="6:72" x14ac:dyDescent="0.25">
      <c r="F20" s="3"/>
      <c r="H20" s="14"/>
      <c r="P20" t="str">
        <f t="shared" si="0"/>
        <v/>
      </c>
      <c r="Q20" t="str">
        <f t="shared" si="1"/>
        <v/>
      </c>
      <c r="R20" t="str">
        <f t="shared" si="2"/>
        <v/>
      </c>
      <c r="S20" t="str">
        <f t="array" ref="S20">IF(SUM(COUNTIF(H20,{"*Deep*";"*Bass*";"*Slap*"})),"Other:Deep House",IF(SUM(COUNTIF(H20,{"*Lo-Fi*"})),"Other:Lo-Fi",IF(SUM(COUNTIF(H20,{"*Tech*"})),"Other:Tech House",IF(SUM(COUNTIF(H20,{"*Indie/Chill Dance*"})),"Other:Indie/Chill Dance",IF(SUM(COUNTIF(H20,{"*Piano*"})),"Other:Piano House",IF(SUM(COUNTIF(H20,{"*EDM*"})),"edm dance",IF(H20="","","")))))))</f>
        <v/>
      </c>
      <c r="T20" t="str">
        <f t="array" ref="T20">IF(SUM(COUNTIF(H20,{"*Deep*";"*Bass*";"*Slap*"})),"energetic",IF(SUM(COUNTIF(H20,{"*Lo-Fi*"})),"calm",IF(SUM(COUNTIF(H20,{"*Tech*"})),"energetic",IF(SUM(COUNTIF(H20,{"*Indie/Chill Dance*"})),"chillout",IF(SUM(COUNTIF(H20,{"*Piano*"})),"energetic",IF(SUM(COUNTIF(H20,{"*EDM*"})),"energetic",IF(H20="","","")))))))</f>
        <v/>
      </c>
      <c r="U20" t="str">
        <f t="array" ref="U20">IF(SUM(COUNTIF(H20,{"*Tech*";"*EDM*";"*Indie*";"*Deep*";"*Piano*";"*Slap*";"*Brazilian Bass*"})),"Song would perfectly fit in any dance mood playlist! Label will invest up to 5000 EUR advertising on facebook and instagram ads aswell as promoting it over label and label partners playlists, radio stations and press.",IF(SUM(COUNTIF(H20,{"*Lo-Fi*"})),"Song would perfectly fit in any Lo-Fi mood playlist! Label will invest up to 5000 EUR advertising on facebook and instagram ads aswell as promoting it over label and label partners playlists, radio stations and press.",IF(H20="","","")))</f>
        <v/>
      </c>
      <c r="V20" t="str">
        <f t="shared" si="3"/>
        <v/>
      </c>
      <c r="W20" t="str">
        <f t="shared" si="7"/>
        <v/>
      </c>
      <c r="X20" t="str">
        <f t="shared" si="8"/>
        <v/>
      </c>
      <c r="AA20" t="str">
        <f t="array" ref="AA20">IF(SUM(COUNTIF(H20,{"*Deep*";"*Bass*";"*Slap*"})),"**Deep House**House**Dance**",IF(SUM(COUNTIF(H20,{"*Lo-Fi*"})),"**Lo-Fi Pop**Lo-Fi Beats**Lo-Fi**",IF(SUM(COUNTIF(H20,{"*Tech*"})),"**Deep House**Tech House**Dance**",IF(SUM(COUNTIF(H20,{"*Indie/Chill Dance*"})),"**Indie Dance**Indie Electronic**Dance Pop**",IF(SUM(COUNTIF(H20,{"*Piano*"})),"**House**Electro house**Melodic House**",IF(SUM(COUNTIF(H20,{"*EDM*"})),"**EDM**Electro house**Dance Pop**",IF(H20="","","")))))))</f>
        <v/>
      </c>
      <c r="AB20" t="str">
        <f t="array" ref="AB20">IF(SUM(COUNTIF(H20,{"*Deep*";"*Bass*";"*Slap*"})),"Energetic,Happy",IF(SUM(COUNTIF(H20,{"*Lo-Fi*"})),"Romantic,Chill",IF(SUM(COUNTIF(H20,{"*Tech*"})),"Energetic,Happy",IF(SUM(COUNTIF(H20,{"*Indie/Chill Dance*"})),"Energetic,Chill",IF(SUM(COUNTIF(H20,{"*Piano*"})),"Energetic,Happy",IF(SUM(COUNTIF(H20,{"*EDM*"})),"Energetic,Happy",IF(H20="","","")))))))</f>
        <v/>
      </c>
      <c r="AC20" t="str">
        <f t="array" ref="AC20">IF(SUM(COUNTIF(H20,{"*Deep*";"*Bass*";"*Slap*"})),"None of these",IF(SUM(COUNTIF(H20,{"*Lo-Fi*"})),"Holiday,Beats",IF(SUM(COUNTIF(H20,{"*Tech*"})),"None of these",IF(SUM(COUNTIF(H20,{"*Indie/Chill Dance*"})),"None of these",IF(SUM(COUNTIF(H20,{"*Piano*"})),"None of these",IF(SUM(COUNTIF(H20,{"*EDM*"})),"None of these",IF(H20="","","")))))))</f>
        <v/>
      </c>
      <c r="AD20" t="str">
        <f t="array" ref="AD20">IF(SUM(COUNTIF(H20,{"*Deep*";"*Bass*";"*Slap*"})),"Samples,Synthesizer,Bass Guitar,Piano,Drum Kit,Electric Guitar",IF(SUM(COUNTIF(H20,{"*Lo-Fi*"})),"Samples,Synthesizer,Bass Guitar,Piano,Drum Kit,Electric Guitar",IF(SUM(COUNTIF(H20,{"*Tech*"})),"Samples,Synthesizer,Bass Guitar,Piano,Drum Kit,Electric Guitar",IF(SUM(COUNTIF(H20,{"*Indie/Chill Dance*"})),"Samples,Synthesizer,Bass Guitar,Piano,Drum Kit,Electric Guitar",IF(SUM(COUNTIF(H20,{"*Piano*"})),"Samples,Synthesizer,Bass Guitar,Piano,Drum Kit,Electric Guitar",IF(SUM(COUNTIF(H20,{"*EDM*"})),"Samples,Synthesizer,Bass Guitar,Piano,Drum Kit,Electric Guitar",IF(H20="","","")))))))</f>
        <v/>
      </c>
      <c r="AE20" t="str">
        <f t="array" ref="AE20">IF(N20="Cover","Yes",IF(SUM(COUNTIF(N20,{"*Radio/Extended*";"*Radio*";"*Remix*"})),"No",""))</f>
        <v/>
      </c>
      <c r="AF20" t="str">
        <f t="array" ref="AF20">IF(N20="Remix","Yes",IF(SUM(COUNTIF(N20,{"*Radio/Extended*";"*Radio*";"*Cover*"})),"No",""))</f>
        <v/>
      </c>
      <c r="AG20" t="str">
        <f t="shared" si="4"/>
        <v/>
      </c>
      <c r="AH20" t="str">
        <f t="array" aca="1" ref="AH20" ca="1">+TRIM(SUBSTITUTE(SUBSTITUTE(SUBSTITUTE(SUBSTITUTE(IFERROR(AQ20&amp;" "&amp;+_xlfn.XLOOKUP(((SUM(LEN(AP20))-SUM(LEN(SUBSTITUTE(AP20,",",""))))/LEN(",")+1)&amp;H20,#REF!&amp;#REF!,#REF!)&amp;CHAR(34)&amp;B20&amp;CHAR(34)&amp;"!"&amp;_xlfn.XLOOKUP(H20,#REF!,#REF!&amp;#REF!),""),"Second",AR20),"Third",AS20),"Forth",AT20),"Fifth",AU20&amp;" "))</f>
        <v/>
      </c>
      <c r="AI20" t="str">
        <f t="array" ref="AI20">IF(SUM(COUNTIF(H20,{"*Deep*";"*Bass*";"*Slap*"})),"**Deep House**Progressive House**House**",IF(SUM(COUNTIF(H20,{"*Lo-Fi*"})),"**Lo-Fi Hip Hop**Indie &amp; Lo Fi**Lounge**",IF(SUM(COUNTIF(H20,{"*Tech*"})),"**Tech House**Techno**Future House**",IF(SUM(COUNTIF(H20,{"*Indie/Chill Dance*"})),"**Chill Electronic**Indie Dance**Ambient**",IF(SUM(COUNTIF(H20,{"*Piano*"})),"**Progressive House**House**Dance Pop**",IF(SUM(COUNTIF(H20,{"*EDM*"})),"**Progressive House**House**EDM**",IF(H20="","","")))))))</f>
        <v/>
      </c>
      <c r="AJ20" t="str">
        <f t="shared" si="5"/>
        <v/>
      </c>
      <c r="AK20" t="str">
        <f t="array" ref="AK20">IF(SUM(COUNTIF(H20,{"*Deep*";"*Bass*";"*Slap*"})),"**Tiësto**Imanbek**",IF(SUM(COUNTIF(H20,{"*Lo-Fi*"})),"**L.Dre**Yasumu**",IF(SUM(COUNTIF(H20,{"*Tech*"})),"**Mau P**Gorgon City**",IF(SUM(COUNTIF(H20,{"*Indie/Chill Dance*"})),"**Felix Jaehn**Lost Frequencies**",IF(SUM(COUNTIF(H20,{"*Piano*"})),"**Avicii**Eric Prydz**",IF(SUM(COUNTIF(H20,{"*EDM*"})),"**David Guetta**Swedish House Mafia**",IF(H20="","","")))))))</f>
        <v/>
      </c>
      <c r="AL20" t="str">
        <f t="array" aca="1" ref="AL20" ca="1">+IFERROR(INDEX(INDIRECT((_xlfn.XLOOKUP(H20,map_country[Genre],map_country[country]))),RANK(INDIRECT((_xlfn.XLOOKUP(H20,map_country[Genre],map_country[min+3])),FALSE),INDIRECT((_xlfn.XLOOKUP(H20,map_country[Genre],map_country[rand]))),1)),"")</f>
        <v/>
      </c>
      <c r="AM20" t="str">
        <f t="array" ref="AM20">IF(SUM(COUNTIF(H20,{"*Deep*";"*Bass*";"*Slap*"})),"Cool,Upbeat,Dark",IF(SUM(COUNTIF(H20,{"*Lo-Fi*"})),"Sexy,Relaxing,Romantic",IF(SUM(COUNTIF(H20,{"*Tech*"})),"Cool,Upbeat,Dark",IF(SUM(COUNTIF(H20,{"*Indie/Chill Dance*"})),"Cool,Upbeat,Light",IF(SUM(COUNTIF(H20,{"*Piano*"})),"Cool,Upbeat,Light",IF(SUM(COUNTIF(H20,{"*EDM*"})),"Cool,Upbeat,Happy Mood",IF(H20="","","")))))))</f>
        <v/>
      </c>
      <c r="AN20" t="str">
        <f t="array" ref="AN20">IF(SUM(COUNTIF(H20,{"*Deep*";"*Bass*";"*Slap*"})),"Hard &amp; Heavy,Chilling Out &amp; Lounging,Happy &amp; Upbeat",IF(SUM(COUNTIF(H20,{"*Lo-Fi*"})),"Work, Study &amp; Reading,Chilling Out &amp; Lounging,Relaxed &amp; Laid Back",IF(SUM(COUNTIF(H20,{"*Tech*"})),"Hard &amp; Heavy,Chilling Out &amp; Lounging,Happy &amp; Upbeat",IF(SUM(COUNTIF(H20,{"*Indie/Chill Dance*"})),"Hard &amp; Heavy,Chilling Out &amp; Lounging,Happy &amp; Upbeat",IF(SUM(COUNTIF(H20,{"*Piano*"})),"Hard &amp; Heavy,Chilling Out &amp; Lounging,Happy &amp; Upbeat",IF(SUM(COUNTIF(H20,{"*EDM*"})),"Hard &amp; Heavy,Chilling Out &amp; Lounging,Happy &amp; Upbeat",IF(H20="","","")))))))</f>
        <v/>
      </c>
      <c r="AP20" s="9" t="str">
        <f t="shared" si="6"/>
        <v/>
      </c>
      <c r="AQ20" s="9" t="str">
        <f ca="1">IFERROR(_xlfn.TEXTBEFORE(AP20,","),AP20)</f>
        <v/>
      </c>
      <c r="AR20" s="9" t="str">
        <f ca="1">IFERROR(TRIM(SUBSTITUTE(SUBSTITUTE(SUBSTITUTE(SUBSTITUTE(_xlfn.TEXTAFTER(AP20,",",1),AS20,""),AT20,""),AU20,""),",","")),"")</f>
        <v/>
      </c>
      <c r="AS20" s="9" t="str">
        <f ca="1">IFERROR(SUBSTITUTE(SUBSTITUTE(SUBSTITUTE(_xlfn.TEXTAFTER(AP20,",",2),AT20,""),",",""),AU20,""),"")</f>
        <v/>
      </c>
      <c r="AT20" s="9" t="str">
        <f ca="1">IFERROR(SUBSTITUTE(SUBSTITUTE(_xlfn.TEXTAFTER(AP20,",",3),AU20,""),",",""),"")</f>
        <v/>
      </c>
      <c r="AU20" s="9" t="str">
        <f ca="1">IFERROR(_xlfn.TEXTAFTER(AP20,",",4),"")</f>
        <v/>
      </c>
      <c r="AX20" t="s">
        <v>40</v>
      </c>
      <c r="BA20" t="s">
        <v>2</v>
      </c>
      <c r="BB20" t="s">
        <v>7</v>
      </c>
      <c r="BC20" t="s">
        <v>42</v>
      </c>
      <c r="BF20" t="s">
        <v>2</v>
      </c>
      <c r="BG20" t="s">
        <v>7</v>
      </c>
      <c r="BH20" t="s">
        <v>42</v>
      </c>
      <c r="BJ20" t="s">
        <v>2</v>
      </c>
      <c r="BK20" t="s">
        <v>7</v>
      </c>
      <c r="BL20" t="s">
        <v>42</v>
      </c>
      <c r="BN20" t="s">
        <v>2</v>
      </c>
      <c r="BO20" t="s">
        <v>7</v>
      </c>
      <c r="BP20" t="s">
        <v>42</v>
      </c>
      <c r="BR20" t="s">
        <v>2</v>
      </c>
      <c r="BS20" t="s">
        <v>7</v>
      </c>
      <c r="BT20" t="s">
        <v>42</v>
      </c>
    </row>
    <row r="21" spans="6:72" x14ac:dyDescent="0.25">
      <c r="F21" s="3"/>
      <c r="H21" s="14"/>
      <c r="P21" t="str">
        <f t="shared" si="0"/>
        <v/>
      </c>
      <c r="Q21" t="str">
        <f t="shared" si="1"/>
        <v/>
      </c>
      <c r="R21" t="str">
        <f t="shared" si="2"/>
        <v/>
      </c>
      <c r="S21" t="str">
        <f t="array" ref="S21">IF(SUM(COUNTIF(H21,{"*Deep*";"*Bass*";"*Slap*"})),"Other:Deep House",IF(SUM(COUNTIF(H21,{"*Lo-Fi*"})),"Other:Lo-Fi",IF(SUM(COUNTIF(H21,{"*Tech*"})),"Other:Tech House",IF(SUM(COUNTIF(H21,{"*Indie/Chill Dance*"})),"Other:Indie/Chill Dance",IF(SUM(COUNTIF(H21,{"*Piano*"})),"Other:Piano House",IF(SUM(COUNTIF(H21,{"*EDM*"})),"edm dance",IF(H21="","","")))))))</f>
        <v/>
      </c>
      <c r="T21" t="str">
        <f t="array" ref="T21">IF(SUM(COUNTIF(H21,{"*Deep*";"*Bass*";"*Slap*"})),"energetic",IF(SUM(COUNTIF(H21,{"*Lo-Fi*"})),"calm",IF(SUM(COUNTIF(H21,{"*Tech*"})),"energetic",IF(SUM(COUNTIF(H21,{"*Indie/Chill Dance*"})),"chillout",IF(SUM(COUNTIF(H21,{"*Piano*"})),"energetic",IF(SUM(COUNTIF(H21,{"*EDM*"})),"energetic",IF(H21="","","")))))))</f>
        <v/>
      </c>
      <c r="U21" t="str">
        <f t="array" ref="U21">IF(SUM(COUNTIF(H21,{"*Tech*";"*EDM*";"*Indie*";"*Deep*";"*Piano*";"*Slap*";"*Brazilian Bass*"})),"Song would perfectly fit in any dance mood playlist! Label will invest up to 5000 EUR advertising on facebook and instagram ads aswell as promoting it over label and label partners playlists, radio stations and press.",IF(SUM(COUNTIF(H21,{"*Lo-Fi*"})),"Song would perfectly fit in any Lo-Fi mood playlist! Label will invest up to 5000 EUR advertising on facebook and instagram ads aswell as promoting it over label and label partners playlists, radio stations and press.",IF(H21="","","")))</f>
        <v/>
      </c>
      <c r="V21" t="str">
        <f t="shared" si="3"/>
        <v/>
      </c>
      <c r="W21" t="str">
        <f t="shared" si="7"/>
        <v/>
      </c>
      <c r="X21" t="str">
        <f t="shared" si="8"/>
        <v/>
      </c>
      <c r="AA21" t="str">
        <f t="array" ref="AA21">IF(SUM(COUNTIF(H21,{"*Deep*";"*Bass*";"*Slap*"})),"**Deep House**House**Dance**",IF(SUM(COUNTIF(H21,{"*Lo-Fi*"})),"**Lo-Fi Pop**Lo-Fi Beats**Lo-Fi**",IF(SUM(COUNTIF(H21,{"*Tech*"})),"**Deep House**Tech House**Dance**",IF(SUM(COUNTIF(H21,{"*Indie/Chill Dance*"})),"**Indie Dance**Indie Electronic**Dance Pop**",IF(SUM(COUNTIF(H21,{"*Piano*"})),"**House**Electro house**Melodic House**",IF(SUM(COUNTIF(H21,{"*EDM*"})),"**EDM**Electro house**Dance Pop**",IF(H21="","","")))))))</f>
        <v/>
      </c>
      <c r="AB21" t="str">
        <f t="array" ref="AB21">IF(SUM(COUNTIF(H21,{"*Deep*";"*Bass*";"*Slap*"})),"Energetic,Happy",IF(SUM(COUNTIF(H21,{"*Lo-Fi*"})),"Romantic,Chill",IF(SUM(COUNTIF(H21,{"*Tech*"})),"Energetic,Happy",IF(SUM(COUNTIF(H21,{"*Indie/Chill Dance*"})),"Energetic,Chill",IF(SUM(COUNTIF(H21,{"*Piano*"})),"Energetic,Happy",IF(SUM(COUNTIF(H21,{"*EDM*"})),"Energetic,Happy",IF(H21="","","")))))))</f>
        <v/>
      </c>
      <c r="AC21" t="str">
        <f t="array" ref="AC21">IF(SUM(COUNTIF(H21,{"*Deep*";"*Bass*";"*Slap*"})),"None of these",IF(SUM(COUNTIF(H21,{"*Lo-Fi*"})),"Holiday,Beats",IF(SUM(COUNTIF(H21,{"*Tech*"})),"None of these",IF(SUM(COUNTIF(H21,{"*Indie/Chill Dance*"})),"None of these",IF(SUM(COUNTIF(H21,{"*Piano*"})),"None of these",IF(SUM(COUNTIF(H21,{"*EDM*"})),"None of these",IF(H21="","","")))))))</f>
        <v/>
      </c>
      <c r="AD21" t="str">
        <f t="array" ref="AD21">IF(SUM(COUNTIF(H21,{"*Deep*";"*Bass*";"*Slap*"})),"Samples,Synthesizer,Bass Guitar,Piano,Drum Kit,Electric Guitar",IF(SUM(COUNTIF(H21,{"*Lo-Fi*"})),"Samples,Synthesizer,Bass Guitar,Piano,Drum Kit,Electric Guitar",IF(SUM(COUNTIF(H21,{"*Tech*"})),"Samples,Synthesizer,Bass Guitar,Piano,Drum Kit,Electric Guitar",IF(SUM(COUNTIF(H21,{"*Indie/Chill Dance*"})),"Samples,Synthesizer,Bass Guitar,Piano,Drum Kit,Electric Guitar",IF(SUM(COUNTIF(H21,{"*Piano*"})),"Samples,Synthesizer,Bass Guitar,Piano,Drum Kit,Electric Guitar",IF(SUM(COUNTIF(H21,{"*EDM*"})),"Samples,Synthesizer,Bass Guitar,Piano,Drum Kit,Electric Guitar",IF(H21="","","")))))))</f>
        <v/>
      </c>
      <c r="AE21" t="str">
        <f t="array" ref="AE21">IF(N21="Cover","Yes",IF(SUM(COUNTIF(N21,{"*Radio/Extended*";"*Radio*";"*Remix*"})),"No",""))</f>
        <v/>
      </c>
      <c r="AF21" t="str">
        <f t="array" ref="AF21">IF(N21="Remix","Yes",IF(SUM(COUNTIF(N21,{"*Radio/Extended*";"*Radio*";"*Cover*"})),"No",""))</f>
        <v/>
      </c>
      <c r="AG21" t="str">
        <f t="shared" si="4"/>
        <v/>
      </c>
      <c r="AH21" t="str">
        <f t="array" aca="1" ref="AH21" ca="1">+TRIM(SUBSTITUTE(SUBSTITUTE(SUBSTITUTE(SUBSTITUTE(IFERROR(AQ21&amp;" "&amp;+_xlfn.XLOOKUP(((SUM(LEN(AP21))-SUM(LEN(SUBSTITUTE(AP21,",",""))))/LEN(",")+1)&amp;H21,#REF!&amp;#REF!,#REF!)&amp;CHAR(34)&amp;B21&amp;CHAR(34)&amp;"!"&amp;_xlfn.XLOOKUP(H21,#REF!,#REF!&amp;#REF!),""),"Second",AR21),"Third",AS21),"Forth",AT21),"Fifth",AU21&amp;" "))</f>
        <v/>
      </c>
      <c r="AI21" t="str">
        <f t="array" ref="AI21">IF(SUM(COUNTIF(H21,{"*Deep*";"*Bass*";"*Slap*"})),"**Deep House**Progressive House**House**",IF(SUM(COUNTIF(H21,{"*Lo-Fi*"})),"**Lo-Fi Hip Hop**Indie &amp; Lo Fi**Lounge**",IF(SUM(COUNTIF(H21,{"*Tech*"})),"**Tech House**Techno**Future House**",IF(SUM(COUNTIF(H21,{"*Indie/Chill Dance*"})),"**Chill Electronic**Indie Dance**Ambient**",IF(SUM(COUNTIF(H21,{"*Piano*"})),"**Progressive House**House**Dance Pop**",IF(SUM(COUNTIF(H21,{"*EDM*"})),"**Progressive House**House**EDM**",IF(H21="","","")))))))</f>
        <v/>
      </c>
      <c r="AJ21" t="str">
        <f t="shared" si="5"/>
        <v/>
      </c>
      <c r="AK21" t="str">
        <f t="array" ref="AK21">IF(SUM(COUNTIF(H21,{"*Deep*";"*Bass*";"*Slap*"})),"**Tiësto**Imanbek**",IF(SUM(COUNTIF(H21,{"*Lo-Fi*"})),"**L.Dre**Yasumu**",IF(SUM(COUNTIF(H21,{"*Tech*"})),"**Mau P**Gorgon City**",IF(SUM(COUNTIF(H21,{"*Indie/Chill Dance*"})),"**Felix Jaehn**Lost Frequencies**",IF(SUM(COUNTIF(H21,{"*Piano*"})),"**Avicii**Eric Prydz**",IF(SUM(COUNTIF(H21,{"*EDM*"})),"**David Guetta**Swedish House Mafia**",IF(H21="","","")))))))</f>
        <v/>
      </c>
      <c r="AL21" t="str">
        <f t="array" aca="1" ref="AL21" ca="1">+IFERROR(INDEX(INDIRECT((_xlfn.XLOOKUP(H21,map_country[Genre],map_country[country]))),RANK(INDIRECT((_xlfn.XLOOKUP(H21,map_country[Genre],map_country[min+3])),FALSE),INDIRECT((_xlfn.XLOOKUP(H21,map_country[Genre],map_country[rand]))),1)),"")</f>
        <v/>
      </c>
      <c r="AM21" t="str">
        <f t="array" ref="AM21">IF(SUM(COUNTIF(H21,{"*Deep*";"*Bass*";"*Slap*"})),"Cool,Upbeat,Dark",IF(SUM(COUNTIF(H21,{"*Lo-Fi*"})),"Sexy,Relaxing,Romantic",IF(SUM(COUNTIF(H21,{"*Tech*"})),"Cool,Upbeat,Dark",IF(SUM(COUNTIF(H21,{"*Indie/Chill Dance*"})),"Cool,Upbeat,Light",IF(SUM(COUNTIF(H21,{"*Piano*"})),"Cool,Upbeat,Light",IF(SUM(COUNTIF(H21,{"*EDM*"})),"Cool,Upbeat,Happy Mood",IF(H21="","","")))))))</f>
        <v/>
      </c>
      <c r="AN21" t="str">
        <f t="array" ref="AN21">IF(SUM(COUNTIF(H21,{"*Deep*";"*Bass*";"*Slap*"})),"Hard &amp; Heavy,Chilling Out &amp; Lounging,Happy &amp; Upbeat",IF(SUM(COUNTIF(H21,{"*Lo-Fi*"})),"Work, Study &amp; Reading,Chilling Out &amp; Lounging,Relaxed &amp; Laid Back",IF(SUM(COUNTIF(H21,{"*Tech*"})),"Hard &amp; Heavy,Chilling Out &amp; Lounging,Happy &amp; Upbeat",IF(SUM(COUNTIF(H21,{"*Indie/Chill Dance*"})),"Hard &amp; Heavy,Chilling Out &amp; Lounging,Happy &amp; Upbeat",IF(SUM(COUNTIF(H21,{"*Piano*"})),"Hard &amp; Heavy,Chilling Out &amp; Lounging,Happy &amp; Upbeat",IF(SUM(COUNTIF(H21,{"*EDM*"})),"Hard &amp; Heavy,Chilling Out &amp; Lounging,Happy &amp; Upbeat",IF(H21="","","")))))))</f>
        <v/>
      </c>
      <c r="AP21" s="9" t="str">
        <f t="shared" si="6"/>
        <v/>
      </c>
      <c r="AQ21" s="9" t="str">
        <f ca="1">IFERROR(_xlfn.TEXTBEFORE(AP21,","),AP21)</f>
        <v/>
      </c>
      <c r="AR21" s="9" t="str">
        <f ca="1">IFERROR(TRIM(SUBSTITUTE(SUBSTITUTE(SUBSTITUTE(SUBSTITUTE(_xlfn.TEXTAFTER(AP21,",",1),AS21,""),AT21,""),AU21,""),",","")),"")</f>
        <v/>
      </c>
      <c r="AS21" s="9" t="str">
        <f ca="1">IFERROR(SUBSTITUTE(SUBSTITUTE(SUBSTITUTE(_xlfn.TEXTAFTER(AP21,",",2),AT21,""),",",""),AU21,""),"")</f>
        <v/>
      </c>
      <c r="AT21" s="9" t="str">
        <f ca="1">IFERROR(SUBSTITUTE(SUBSTITUTE(_xlfn.TEXTAFTER(AP21,",",3),AU21,""),",",""),"")</f>
        <v/>
      </c>
      <c r="AU21" s="9" t="str">
        <f ca="1">IFERROR(_xlfn.TEXTAFTER(AP21,",",4),"")</f>
        <v/>
      </c>
      <c r="AX21" t="s">
        <v>40</v>
      </c>
      <c r="BA21" t="s">
        <v>127</v>
      </c>
      <c r="BB21" t="s">
        <v>46</v>
      </c>
      <c r="BC21">
        <f t="shared" ref="BC21:BC31" ca="1" si="10">+RAND()</f>
        <v>0.64798626912934243</v>
      </c>
      <c r="BF21" t="s">
        <v>127</v>
      </c>
      <c r="BG21" t="s">
        <v>48</v>
      </c>
      <c r="BH21">
        <f t="shared" ref="BH21:BH31" ca="1" si="11">+RAND()</f>
        <v>0.51563279680652052</v>
      </c>
      <c r="BJ21" t="s">
        <v>127</v>
      </c>
      <c r="BK21" t="s">
        <v>50</v>
      </c>
      <c r="BL21">
        <f t="shared" ref="BL21:BL31" ca="1" si="12">+RAND()</f>
        <v>0.62913084005989028</v>
      </c>
      <c r="BN21" t="s">
        <v>127</v>
      </c>
      <c r="BO21" t="s">
        <v>52</v>
      </c>
      <c r="BP21">
        <f t="shared" ref="BP21:BP31" ca="1" si="13">+RAND()</f>
        <v>2.3217264959394801E-2</v>
      </c>
      <c r="BR21" t="s">
        <v>127</v>
      </c>
      <c r="BS21" t="s">
        <v>57</v>
      </c>
      <c r="BT21">
        <f t="shared" ref="BT21:BT31" ca="1" si="14">+RAND()</f>
        <v>0.59314335205665936</v>
      </c>
    </row>
    <row r="22" spans="6:72" x14ac:dyDescent="0.25">
      <c r="F22" s="3"/>
      <c r="H22" s="14"/>
      <c r="P22" t="str">
        <f t="shared" si="0"/>
        <v/>
      </c>
      <c r="Q22" t="str">
        <f t="shared" si="1"/>
        <v/>
      </c>
      <c r="R22" t="str">
        <f t="shared" si="2"/>
        <v/>
      </c>
      <c r="S22" t="str">
        <f t="array" ref="S22">IF(SUM(COUNTIF(H22,{"*Deep*";"*Bass*";"*Slap*"})),"Other:Deep House",IF(SUM(COUNTIF(H22,{"*Lo-Fi*"})),"Other:Lo-Fi",IF(SUM(COUNTIF(H22,{"*Tech*"})),"Other:Tech House",IF(SUM(COUNTIF(H22,{"*Indie/Chill Dance*"})),"Other:Indie/Chill Dance",IF(SUM(COUNTIF(H22,{"*Piano*"})),"Other:Piano House",IF(SUM(COUNTIF(H22,{"*EDM*"})),"edm dance",IF(H22="","","")))))))</f>
        <v/>
      </c>
      <c r="T22" t="str">
        <f t="array" ref="T22">IF(SUM(COUNTIF(H22,{"*Deep*";"*Bass*";"*Slap*"})),"energetic",IF(SUM(COUNTIF(H22,{"*Lo-Fi*"})),"calm",IF(SUM(COUNTIF(H22,{"*Tech*"})),"energetic",IF(SUM(COUNTIF(H22,{"*Indie/Chill Dance*"})),"chillout",IF(SUM(COUNTIF(H22,{"*Piano*"})),"energetic",IF(SUM(COUNTIF(H22,{"*EDM*"})),"energetic",IF(H22="","","")))))))</f>
        <v/>
      </c>
      <c r="U22" t="str">
        <f t="array" ref="U22">IF(SUM(COUNTIF(H22,{"*Tech*";"*EDM*";"*Indie*";"*Deep*";"*Piano*";"*Slap*";"*Brazilian Bass*"})),"Song would perfectly fit in any dance mood playlist! Label will invest up to 5000 EUR advertising on facebook and instagram ads aswell as promoting it over label and label partners playlists, radio stations and press.",IF(SUM(COUNTIF(H22,{"*Lo-Fi*"})),"Song would perfectly fit in any Lo-Fi mood playlist! Label will invest up to 5000 EUR advertising on facebook and instagram ads aswell as promoting it over label and label partners playlists, radio stations and press.",IF(H22="","","")))</f>
        <v/>
      </c>
      <c r="V22" t="str">
        <f t="shared" si="3"/>
        <v/>
      </c>
      <c r="W22" t="str">
        <f t="shared" si="7"/>
        <v/>
      </c>
      <c r="X22" t="str">
        <f t="shared" si="8"/>
        <v/>
      </c>
      <c r="AA22" t="str">
        <f t="array" ref="AA22">IF(SUM(COUNTIF(H22,{"*Deep*";"*Bass*";"*Slap*"})),"**Deep House**House**Dance**",IF(SUM(COUNTIF(H22,{"*Lo-Fi*"})),"**Lo-Fi Pop**Lo-Fi Beats**Lo-Fi**",IF(SUM(COUNTIF(H22,{"*Tech*"})),"**Deep House**Tech House**Dance**",IF(SUM(COUNTIF(H22,{"*Indie/Chill Dance*"})),"**Indie Dance**Indie Electronic**Dance Pop**",IF(SUM(COUNTIF(H22,{"*Piano*"})),"**House**Electro house**Melodic House**",IF(SUM(COUNTIF(H22,{"*EDM*"})),"**EDM**Electro house**Dance Pop**",IF(H22="","","")))))))</f>
        <v/>
      </c>
      <c r="AB22" t="str">
        <f t="array" ref="AB22">IF(SUM(COUNTIF(H22,{"*Deep*";"*Bass*";"*Slap*"})),"Energetic,Happy",IF(SUM(COUNTIF(H22,{"*Lo-Fi*"})),"Romantic,Chill",IF(SUM(COUNTIF(H22,{"*Tech*"})),"Energetic,Happy",IF(SUM(COUNTIF(H22,{"*Indie/Chill Dance*"})),"Energetic,Chill",IF(SUM(COUNTIF(H22,{"*Piano*"})),"Energetic,Happy",IF(SUM(COUNTIF(H22,{"*EDM*"})),"Energetic,Happy",IF(H22="","","")))))))</f>
        <v/>
      </c>
      <c r="AC22" t="str">
        <f t="array" ref="AC22">IF(SUM(COUNTIF(H22,{"*Deep*";"*Bass*";"*Slap*"})),"None of these",IF(SUM(COUNTIF(H22,{"*Lo-Fi*"})),"Holiday,Beats",IF(SUM(COUNTIF(H22,{"*Tech*"})),"None of these",IF(SUM(COUNTIF(H22,{"*Indie/Chill Dance*"})),"None of these",IF(SUM(COUNTIF(H22,{"*Piano*"})),"None of these",IF(SUM(COUNTIF(H22,{"*EDM*"})),"None of these",IF(H22="","","")))))))</f>
        <v/>
      </c>
      <c r="AD22" t="str">
        <f t="array" ref="AD22">IF(SUM(COUNTIF(H22,{"*Deep*";"*Bass*";"*Slap*"})),"Samples,Synthesizer,Bass Guitar,Piano,Drum Kit,Electric Guitar",IF(SUM(COUNTIF(H22,{"*Lo-Fi*"})),"Samples,Synthesizer,Bass Guitar,Piano,Drum Kit,Electric Guitar",IF(SUM(COUNTIF(H22,{"*Tech*"})),"Samples,Synthesizer,Bass Guitar,Piano,Drum Kit,Electric Guitar",IF(SUM(COUNTIF(H22,{"*Indie/Chill Dance*"})),"Samples,Synthesizer,Bass Guitar,Piano,Drum Kit,Electric Guitar",IF(SUM(COUNTIF(H22,{"*Piano*"})),"Samples,Synthesizer,Bass Guitar,Piano,Drum Kit,Electric Guitar",IF(SUM(COUNTIF(H22,{"*EDM*"})),"Samples,Synthesizer,Bass Guitar,Piano,Drum Kit,Electric Guitar",IF(H22="","","")))))))</f>
        <v/>
      </c>
      <c r="AE22" t="str">
        <f t="array" ref="AE22">IF(N22="Cover","Yes",IF(SUM(COUNTIF(N22,{"*Radio/Extended*";"*Radio*";"*Remix*"})),"No",""))</f>
        <v/>
      </c>
      <c r="AF22" t="str">
        <f t="array" ref="AF22">IF(N22="Remix","Yes",IF(SUM(COUNTIF(N22,{"*Radio/Extended*";"*Radio*";"*Cover*"})),"No",""))</f>
        <v/>
      </c>
      <c r="AG22" t="str">
        <f t="shared" si="4"/>
        <v/>
      </c>
      <c r="AH22" t="str">
        <f t="array" aca="1" ref="AH22" ca="1">+TRIM(SUBSTITUTE(SUBSTITUTE(SUBSTITUTE(SUBSTITUTE(IFERROR(AQ22&amp;" "&amp;+_xlfn.XLOOKUP(((SUM(LEN(AP22))-SUM(LEN(SUBSTITUTE(AP22,",",""))))/LEN(",")+1)&amp;H22,#REF!&amp;#REF!,#REF!)&amp;CHAR(34)&amp;B22&amp;CHAR(34)&amp;"!"&amp;_xlfn.XLOOKUP(H22,#REF!,#REF!&amp;#REF!),""),"Second",AR22),"Third",AS22),"Forth",AT22),"Fifth",AU22&amp;" "))</f>
        <v/>
      </c>
      <c r="AI22" t="str">
        <f t="array" ref="AI22">IF(SUM(COUNTIF(H22,{"*Deep*";"*Bass*";"*Slap*"})),"**Deep House**Progressive House**House**",IF(SUM(COUNTIF(H22,{"*Lo-Fi*"})),"**Lo-Fi Hip Hop**Indie &amp; Lo Fi**Lounge**",IF(SUM(COUNTIF(H22,{"*Tech*"})),"**Tech House**Techno**Future House**",IF(SUM(COUNTIF(H22,{"*Indie/Chill Dance*"})),"**Chill Electronic**Indie Dance**Ambient**",IF(SUM(COUNTIF(H22,{"*Piano*"})),"**Progressive House**House**Dance Pop**",IF(SUM(COUNTIF(H22,{"*EDM*"})),"**Progressive House**House**EDM**",IF(H22="","","")))))))</f>
        <v/>
      </c>
      <c r="AJ22" t="str">
        <f t="shared" si="5"/>
        <v/>
      </c>
      <c r="AK22" t="str">
        <f t="array" ref="AK22">IF(SUM(COUNTIF(H22,{"*Deep*";"*Bass*";"*Slap*"})),"**Tiësto**Imanbek**",IF(SUM(COUNTIF(H22,{"*Lo-Fi*"})),"**L.Dre**Yasumu**",IF(SUM(COUNTIF(H22,{"*Tech*"})),"**Mau P**Gorgon City**",IF(SUM(COUNTIF(H22,{"*Indie/Chill Dance*"})),"**Felix Jaehn**Lost Frequencies**",IF(SUM(COUNTIF(H22,{"*Piano*"})),"**Avicii**Eric Prydz**",IF(SUM(COUNTIF(H22,{"*EDM*"})),"**David Guetta**Swedish House Mafia**",IF(H22="","","")))))))</f>
        <v/>
      </c>
      <c r="AL22" t="str">
        <f t="array" aca="1" ref="AL22" ca="1">+IFERROR(INDEX(INDIRECT((_xlfn.XLOOKUP(H22,map_country[Genre],map_country[country]))),RANK(INDIRECT((_xlfn.XLOOKUP(H22,map_country[Genre],map_country[min+3])),FALSE),INDIRECT((_xlfn.XLOOKUP(H22,map_country[Genre],map_country[rand]))),1)),"")</f>
        <v/>
      </c>
      <c r="AM22" t="str">
        <f t="array" ref="AM22">IF(SUM(COUNTIF(H22,{"*Deep*";"*Bass*";"*Slap*"})),"Cool,Upbeat,Dark",IF(SUM(COUNTIF(H22,{"*Lo-Fi*"})),"Sexy,Relaxing,Romantic",IF(SUM(COUNTIF(H22,{"*Tech*"})),"Cool,Upbeat,Dark",IF(SUM(COUNTIF(H22,{"*Indie/Chill Dance*"})),"Cool,Upbeat,Light",IF(SUM(COUNTIF(H22,{"*Piano*"})),"Cool,Upbeat,Light",IF(SUM(COUNTIF(H22,{"*EDM*"})),"Cool,Upbeat,Happy Mood",IF(H22="","","")))))))</f>
        <v/>
      </c>
      <c r="AN22" t="str">
        <f t="array" ref="AN22">IF(SUM(COUNTIF(H22,{"*Deep*";"*Bass*";"*Slap*"})),"Hard &amp; Heavy,Chilling Out &amp; Lounging,Happy &amp; Upbeat",IF(SUM(COUNTIF(H22,{"*Lo-Fi*"})),"Work, Study &amp; Reading,Chilling Out &amp; Lounging,Relaxed &amp; Laid Back",IF(SUM(COUNTIF(H22,{"*Tech*"})),"Hard &amp; Heavy,Chilling Out &amp; Lounging,Happy &amp; Upbeat",IF(SUM(COUNTIF(H22,{"*Indie/Chill Dance*"})),"Hard &amp; Heavy,Chilling Out &amp; Lounging,Happy &amp; Upbeat",IF(SUM(COUNTIF(H22,{"*Piano*"})),"Hard &amp; Heavy,Chilling Out &amp; Lounging,Happy &amp; Upbeat",IF(SUM(COUNTIF(H22,{"*EDM*"})),"Hard &amp; Heavy,Chilling Out &amp; Lounging,Happy &amp; Upbeat",IF(H22="","","")))))))</f>
        <v/>
      </c>
      <c r="AP22" s="9" t="str">
        <f t="shared" si="6"/>
        <v/>
      </c>
      <c r="AQ22" s="9" t="str">
        <f ca="1">IFERROR(_xlfn.TEXTBEFORE(AP22,","),AP22)</f>
        <v/>
      </c>
      <c r="AR22" s="9" t="str">
        <f ca="1">IFERROR(TRIM(SUBSTITUTE(SUBSTITUTE(SUBSTITUTE(SUBSTITUTE(_xlfn.TEXTAFTER(AP22,",",1),AS22,""),AT22,""),AU22,""),",","")),"")</f>
        <v/>
      </c>
      <c r="AS22" s="9" t="str">
        <f ca="1">IFERROR(SUBSTITUTE(SUBSTITUTE(SUBSTITUTE(_xlfn.TEXTAFTER(AP22,",",2),AT22,""),",",""),AU22,""),"")</f>
        <v/>
      </c>
      <c r="AT22" s="9" t="str">
        <f ca="1">IFERROR(SUBSTITUTE(SUBSTITUTE(_xlfn.TEXTAFTER(AP22,",",3),AU22,""),",",""),"")</f>
        <v/>
      </c>
      <c r="AU22" s="9" t="str">
        <f ca="1">IFERROR(_xlfn.TEXTAFTER(AP22,",",4),"")</f>
        <v/>
      </c>
      <c r="AX22" t="s">
        <v>40</v>
      </c>
      <c r="BA22" t="s">
        <v>128</v>
      </c>
      <c r="BB22" t="s">
        <v>46</v>
      </c>
      <c r="BC22">
        <f t="shared" ca="1" si="10"/>
        <v>0.96397530268451581</v>
      </c>
      <c r="BF22" t="s">
        <v>128</v>
      </c>
      <c r="BG22" t="s">
        <v>48</v>
      </c>
      <c r="BH22">
        <f t="shared" ca="1" si="11"/>
        <v>0.92018663445417204</v>
      </c>
      <c r="BJ22" t="s">
        <v>128</v>
      </c>
      <c r="BK22" t="s">
        <v>50</v>
      </c>
      <c r="BL22">
        <f t="shared" ca="1" si="12"/>
        <v>0.4757518020904038</v>
      </c>
      <c r="BN22" t="s">
        <v>128</v>
      </c>
      <c r="BO22" t="s">
        <v>52</v>
      </c>
      <c r="BP22">
        <f t="shared" ca="1" si="13"/>
        <v>0.91864618894149797</v>
      </c>
      <c r="BR22" t="s">
        <v>128</v>
      </c>
      <c r="BS22" t="s">
        <v>57</v>
      </c>
      <c r="BT22">
        <f t="shared" ca="1" si="14"/>
        <v>4.1779777732486867E-3</v>
      </c>
    </row>
    <row r="23" spans="6:72" x14ac:dyDescent="0.25">
      <c r="F23" s="3"/>
      <c r="H23" s="7"/>
      <c r="P23" t="str">
        <f t="shared" si="0"/>
        <v/>
      </c>
      <c r="Q23" t="str">
        <f t="shared" si="1"/>
        <v/>
      </c>
      <c r="R23" t="str">
        <f t="shared" si="2"/>
        <v/>
      </c>
      <c r="S23" t="str">
        <f t="array" ref="S23">IF(SUM(COUNTIF(H23,{"*Deep*";"*Bass*";"*Slap*"})),"Other:Deep House",IF(SUM(COUNTIF(H23,{"*Lo-Fi*"})),"Other:Lo-Fi",IF(SUM(COUNTIF(H23,{"*Tech*"})),"Other:Tech House",IF(SUM(COUNTIF(H23,{"*Indie/Chill Dance*"})),"Other:Indie/Chill Dance",IF(SUM(COUNTIF(H23,{"*Piano*"})),"Other:Piano House",IF(SUM(COUNTIF(H23,{"*EDM*"})),"edm dance",IF(H23="","","")))))))</f>
        <v/>
      </c>
      <c r="T23" t="str">
        <f t="array" ref="T23">IF(SUM(COUNTIF(H23,{"*Deep*";"*Bass*";"*Slap*"})),"energetic",IF(SUM(COUNTIF(H23,{"*Lo-Fi*"})),"calm",IF(SUM(COUNTIF(H23,{"*Tech*"})),"energetic",IF(SUM(COUNTIF(H23,{"*Indie/Chill Dance*"})),"chillout",IF(SUM(COUNTIF(H23,{"*Piano*"})),"energetic",IF(SUM(COUNTIF(H23,{"*EDM*"})),"energetic",IF(H23="","","")))))))</f>
        <v/>
      </c>
      <c r="U23" t="str">
        <f t="array" ref="U23">IF(SUM(COUNTIF(H23,{"*Tech*";"*EDM*";"*Indie*";"*Deep*";"*Piano*";"*Slap*";"*Brazilian Bass*"})),"Song would perfectly fit in any dance mood playlist! Label will invest up to 5000 EUR advertising on facebook and instagram ads aswell as promoting it over label and label partners playlists, radio stations and press.",IF(SUM(COUNTIF(H23,{"*Lo-Fi*"})),"Song would perfectly fit in any Lo-Fi mood playlist! Label will invest up to 5000 EUR advertising on facebook and instagram ads aswell as promoting it over label and label partners playlists, radio stations and press.",IF(H23="","","")))</f>
        <v/>
      </c>
      <c r="V23" t="str">
        <f t="shared" si="3"/>
        <v/>
      </c>
      <c r="W23" t="str">
        <f t="shared" si="7"/>
        <v/>
      </c>
      <c r="X23" t="str">
        <f t="shared" si="8"/>
        <v/>
      </c>
      <c r="Z23" t="str">
        <f t="array" aca="1" ref="Z23" ca="1">+IFERROR(INDEX(INDIRECT((_xlfn.XLOOKUP(H23,map_location[Genre],map_location[location]))),RANK(INDIRECT((_xlfn.XLOOKUP(H23,map_location[Genre],map_location[MIN+1])),FALSE),INDIRECT((_xlfn.XLOOKUP(H23,map_location[Genre],map_location[rand]))),1)),"")</f>
        <v/>
      </c>
      <c r="AA23" t="str">
        <f t="array" ref="AA23">IF(SUM(COUNTIF(H23,{"*Deep*";"*Bass*";"*Slap*"})),"**Deep House**House**Dance**",IF(SUM(COUNTIF(H23,{"*Lo-Fi*"})),"**Lo-Fi Pop**Lo-Fi Beats**Lo-Fi**",IF(SUM(COUNTIF(H23,{"*Tech*"})),"**Deep House**Tech House**Dance**",IF(SUM(COUNTIF(H23,{"*Indie/Chill Dance*"})),"**Indie Dance**Indie Electronic**Dance Pop**",IF(SUM(COUNTIF(H23,{"*Piano*"})),"**House**Electro house**Melodic House**",IF(SUM(COUNTIF(H23,{"*EDM*"})),"**EDM**Electro house**Dance Pop**",IF(H23="","","")))))))</f>
        <v/>
      </c>
      <c r="AB23" t="str">
        <f t="array" ref="AB23">IF(SUM(COUNTIF(H23,{"*Deep*";"*Bass*";"*Slap*"})),"Energetic,Happy",IF(SUM(COUNTIF(H23,{"*Lo-Fi*"})),"Romantic,Chill",IF(SUM(COUNTIF(H23,{"*Tech*"})),"Energetic,Happy",IF(SUM(COUNTIF(H23,{"*Indie/Chill Dance*"})),"Energetic,Chill",IF(SUM(COUNTIF(H23,{"*Piano*"})),"Energetic,Happy",IF(SUM(COUNTIF(H23,{"*EDM*"})),"Energetic,Happy",IF(H23="","","")))))))</f>
        <v/>
      </c>
      <c r="AC23" t="str">
        <f t="array" ref="AC23">IF(SUM(COUNTIF(H23,{"*Deep*";"*Bass*";"*Slap*"})),"None of these",IF(SUM(COUNTIF(H23,{"*Lo-Fi*"})),"Holiday,Beats",IF(SUM(COUNTIF(H23,{"*Tech*"})),"None of these",IF(SUM(COUNTIF(H23,{"*Indie/Chill Dance*"})),"None of these",IF(SUM(COUNTIF(H23,{"*Piano*"})),"None of these",IF(SUM(COUNTIF(H23,{"*EDM*"})),"None of these",IF(H23="","","")))))))</f>
        <v/>
      </c>
      <c r="AD23" t="str">
        <f t="array" ref="AD23">IF(SUM(COUNTIF(H23,{"*Deep*";"*Bass*";"*Slap*"})),"Samples,Synthesizer,Bass Guitar,Piano,Drum Kit,Electric Guitar",IF(SUM(COUNTIF(H23,{"*Lo-Fi*"})),"Samples,Synthesizer,Bass Guitar,Piano,Drum Kit,Electric Guitar",IF(SUM(COUNTIF(H23,{"*Tech*"})),"Samples,Synthesizer,Bass Guitar,Piano,Drum Kit,Electric Guitar",IF(SUM(COUNTIF(H23,{"*Indie/Chill Dance*"})),"Samples,Synthesizer,Bass Guitar,Piano,Drum Kit,Electric Guitar",IF(SUM(COUNTIF(H23,{"*Piano*"})),"Samples,Synthesizer,Bass Guitar,Piano,Drum Kit,Electric Guitar",IF(SUM(COUNTIF(H23,{"*EDM*"})),"Samples,Synthesizer,Bass Guitar,Piano,Drum Kit,Electric Guitar",IF(H23="","","")))))))</f>
        <v/>
      </c>
      <c r="AE23" t="str">
        <f t="array" ref="AE23">IF(N23="Cover","Yes",IF(SUM(COUNTIF(N23,{"*Radio/Extended*";"*Radio*";"*Remix*"})),"No",""))</f>
        <v/>
      </c>
      <c r="AF23" t="str">
        <f t="array" ref="AF23">IF(N23="Remix","Yes",IF(SUM(COUNTIF(N23,{"*Radio/Extended*";"*Radio*";"*Cover*"})),"No",""))</f>
        <v/>
      </c>
      <c r="AG23" t="str">
        <f t="shared" si="4"/>
        <v/>
      </c>
      <c r="AH23" t="str">
        <f t="array" aca="1" ref="AH23" ca="1">+TRIM(SUBSTITUTE(SUBSTITUTE(SUBSTITUTE(SUBSTITUTE(IFERROR(AQ23&amp;" "&amp;+_xlfn.XLOOKUP(((SUM(LEN(AP23))-SUM(LEN(SUBSTITUTE(AP23,",",""))))/LEN(",")+1)&amp;H23,#REF!&amp;#REF!,#REF!)&amp;CHAR(34)&amp;B23&amp;CHAR(34)&amp;"!"&amp;_xlfn.XLOOKUP(H23,#REF!,#REF!&amp;#REF!),""),"Second",AR23),"Third",AS23),"Forth",AT23),"Fifth",AU23&amp;" "))</f>
        <v/>
      </c>
      <c r="AI23" t="str">
        <f t="array" ref="AI23">IF(SUM(COUNTIF(H23,{"*Deep*";"*Bass*";"*Slap*"})),"**Deep House**Progressive House**House**",IF(SUM(COUNTIF(H23,{"*Lo-Fi*"})),"**Lo-Fi Hip Hop**Indie &amp; Lo Fi**Lounge**",IF(SUM(COUNTIF(H23,{"*Tech*"})),"**Tech House**Techno**Future House**",IF(SUM(COUNTIF(H23,{"*Indie/Chill Dance*"})),"**Chill Electronic**Indie Dance**Ambient**",IF(SUM(COUNTIF(H23,{"*Piano*"})),"**Progressive House**House**Dance Pop**",IF(SUM(COUNTIF(H23,{"*EDM*"})),"**Progressive House**House**EDM**",IF(H23="","","")))))))</f>
        <v/>
      </c>
      <c r="AJ23" t="str">
        <f t="shared" si="5"/>
        <v/>
      </c>
      <c r="AK23" t="str">
        <f t="array" ref="AK23">IF(SUM(COUNTIF(H23,{"*Deep*";"*Bass*";"*Slap*"})),"**Tiësto**Imanbek**",IF(SUM(COUNTIF(H23,{"*Lo-Fi*"})),"**L.Dre**Yasumu**",IF(SUM(COUNTIF(H23,{"*Tech*"})),"**Mau P**Gorgon City**",IF(SUM(COUNTIF(H23,{"*Indie/Chill Dance*"})),"**Felix Jaehn**Lost Frequencies**",IF(SUM(COUNTIF(H23,{"*Piano*"})),"**Avicii**Eric Prydz**",IF(SUM(COUNTIF(H23,{"*EDM*"})),"**David Guetta**Swedish House Mafia**",IF(H23="","","")))))))</f>
        <v/>
      </c>
      <c r="AL23" t="str">
        <f t="array" aca="1" ref="AL23" ca="1">+IFERROR(INDEX(INDIRECT((_xlfn.XLOOKUP(H23,map_country[Genre],map_country[country]))),RANK(INDIRECT((_xlfn.XLOOKUP(H23,map_country[Genre],map_country[min+4])),FALSE),INDIRECT((_xlfn.XLOOKUP(H23,map_country[Genre],map_country[rand]))),1)),"")</f>
        <v/>
      </c>
      <c r="AM23" t="str">
        <f t="array" ref="AM23">IF(SUM(COUNTIF(H23,{"*Deep*";"*Bass*";"*Slap*"})),"Cool,Upbeat,Dark",IF(SUM(COUNTIF(H23,{"*Lo-Fi*"})),"Sexy,Relaxing,Romantic",IF(SUM(COUNTIF(H23,{"*Tech*"})),"Cool,Upbeat,Dark",IF(SUM(COUNTIF(H23,{"*Indie/Chill Dance*"})),"Cool,Upbeat,Light",IF(SUM(COUNTIF(H23,{"*Piano*"})),"Cool,Upbeat,Light",IF(SUM(COUNTIF(H23,{"*EDM*"})),"Cool,Upbeat,Happy Mood",IF(H23="","","")))))))</f>
        <v/>
      </c>
      <c r="AN23" t="str">
        <f t="array" ref="AN23">IF(SUM(COUNTIF(H23,{"*Deep*";"*Bass*";"*Slap*"})),"Hard &amp; Heavy,Chilling Out &amp; Lounging,Happy &amp; Upbeat",IF(SUM(COUNTIF(H23,{"*Lo-Fi*"})),"Work, Study &amp; Reading,Chilling Out &amp; Lounging,Relaxed &amp; Laid Back",IF(SUM(COUNTIF(H23,{"*Tech*"})),"Hard &amp; Heavy,Chilling Out &amp; Lounging,Happy &amp; Upbeat",IF(SUM(COUNTIF(H23,{"*Indie/Chill Dance*"})),"Hard &amp; Heavy,Chilling Out &amp; Lounging,Happy &amp; Upbeat",IF(SUM(COUNTIF(H23,{"*Piano*"})),"Hard &amp; Heavy,Chilling Out &amp; Lounging,Happy &amp; Upbeat",IF(SUM(COUNTIF(H23,{"*EDM*"})),"Hard &amp; Heavy,Chilling Out &amp; Lounging,Happy &amp; Upbeat",IF(H23="","","")))))))</f>
        <v/>
      </c>
      <c r="AP23" s="9" t="str">
        <f t="shared" si="6"/>
        <v/>
      </c>
      <c r="AQ23" s="9" t="str">
        <f ca="1">IFERROR(_xlfn.TEXTBEFORE(AP23,","),AP23)</f>
        <v/>
      </c>
      <c r="AR23" s="9" t="str">
        <f ca="1">IFERROR(TRIM(SUBSTITUTE(SUBSTITUTE(SUBSTITUTE(SUBSTITUTE(_xlfn.TEXTAFTER(AP23,",",1),AS23,""),AT23,""),AU23,""),",","")),"")</f>
        <v/>
      </c>
      <c r="AS23" s="9" t="str">
        <f ca="1">IFERROR(SUBSTITUTE(SUBSTITUTE(SUBSTITUTE(_xlfn.TEXTAFTER(AP23,",",2),AT23,""),",",""),AU23,""),"")</f>
        <v/>
      </c>
      <c r="AT23" s="9" t="str">
        <f ca="1">IFERROR(SUBSTITUTE(SUBSTITUTE(_xlfn.TEXTAFTER(AP23,",",3),AU23,""),",",""),"")</f>
        <v/>
      </c>
      <c r="AU23" s="9" t="str">
        <f ca="1">IFERROR(_xlfn.TEXTAFTER(AP23,",",4),"")</f>
        <v/>
      </c>
      <c r="AX23" t="s">
        <v>40</v>
      </c>
      <c r="BA23" t="s">
        <v>129</v>
      </c>
      <c r="BB23" t="s">
        <v>46</v>
      </c>
      <c r="BC23">
        <f t="shared" ca="1" si="10"/>
        <v>0.16324770659624321</v>
      </c>
      <c r="BF23" t="s">
        <v>129</v>
      </c>
      <c r="BG23" t="s">
        <v>48</v>
      </c>
      <c r="BH23">
        <f t="shared" ca="1" si="11"/>
        <v>0.42848129676717039</v>
      </c>
      <c r="BJ23" t="s">
        <v>129</v>
      </c>
      <c r="BK23" t="s">
        <v>50</v>
      </c>
      <c r="BL23">
        <f t="shared" ca="1" si="12"/>
        <v>0.43854418034936671</v>
      </c>
      <c r="BN23" t="s">
        <v>129</v>
      </c>
      <c r="BO23" t="s">
        <v>52</v>
      </c>
      <c r="BP23">
        <f t="shared" ca="1" si="13"/>
        <v>0.90214358165953767</v>
      </c>
      <c r="BR23" t="s">
        <v>129</v>
      </c>
      <c r="BS23" t="s">
        <v>57</v>
      </c>
      <c r="BT23">
        <f t="shared" ca="1" si="14"/>
        <v>0.69580767765109097</v>
      </c>
    </row>
    <row r="24" spans="6:72" x14ac:dyDescent="0.25">
      <c r="F24" s="3"/>
      <c r="H24" s="7"/>
      <c r="P24" t="str">
        <f t="shared" si="0"/>
        <v/>
      </c>
      <c r="Q24" t="str">
        <f t="shared" si="1"/>
        <v/>
      </c>
      <c r="R24" t="str">
        <f t="shared" si="2"/>
        <v/>
      </c>
      <c r="S24" t="str">
        <f t="array" ref="S24">IF(SUM(COUNTIF(H24,{"*Deep*";"*Bass*";"*Slap*"})),"Other:Deep House",IF(SUM(COUNTIF(H24,{"*Lo-Fi*"})),"Other:Lo-Fi",IF(SUM(COUNTIF(H24,{"*Tech*"})),"Other:Tech House",IF(SUM(COUNTIF(H24,{"*Indie/Chill Dance*"})),"Other:Indie/Chill Dance",IF(SUM(COUNTIF(H24,{"*Piano*"})),"Other:Piano House",IF(SUM(COUNTIF(H24,{"*EDM*"})),"edm dance",IF(H24="","","")))))))</f>
        <v/>
      </c>
      <c r="T24" t="str">
        <f t="array" ref="T24">IF(SUM(COUNTIF(H24,{"*Deep*";"*Bass*";"*Slap*"})),"energetic",IF(SUM(COUNTIF(H24,{"*Lo-Fi*"})),"calm",IF(SUM(COUNTIF(H24,{"*Tech*"})),"energetic",IF(SUM(COUNTIF(H24,{"*Indie/Chill Dance*"})),"chillout",IF(SUM(COUNTIF(H24,{"*Piano*"})),"energetic",IF(SUM(COUNTIF(H24,{"*EDM*"})),"energetic",IF(H24="","","")))))))</f>
        <v/>
      </c>
      <c r="U24" t="str">
        <f t="array" ref="U24">IF(SUM(COUNTIF(H24,{"*Tech*";"*EDM*";"*Indie*";"*Deep*";"*Piano*";"*Slap*";"*Brazilian Bass*"})),"Song would perfectly fit in any dance mood playlist! Label will invest up to 5000 EUR advertising on facebook and instagram ads aswell as promoting it over label and label partners playlists, radio stations and press.",IF(SUM(COUNTIF(H24,{"*Lo-Fi*"})),"Song would perfectly fit in any Lo-Fi mood playlist! Label will invest up to 5000 EUR advertising on facebook and instagram ads aswell as promoting it over label and label partners playlists, radio stations and press.",IF(H24="","","")))</f>
        <v/>
      </c>
      <c r="V24" t="str">
        <f t="shared" si="3"/>
        <v/>
      </c>
      <c r="W24" t="str">
        <f t="shared" si="7"/>
        <v/>
      </c>
      <c r="X24" t="str">
        <f t="shared" si="8"/>
        <v/>
      </c>
      <c r="Z24" t="str">
        <f t="array" aca="1" ref="Z24" ca="1">+IFERROR(INDEX(INDIRECT((_xlfn.XLOOKUP(H24,map_location[Genre],map_location[location]))),RANK(INDIRECT((_xlfn.XLOOKUP(H24,map_location[Genre],map_location[MIN+1])),FALSE),INDIRECT((_xlfn.XLOOKUP(H24,map_location[Genre],map_location[rand]))),1)),"")</f>
        <v/>
      </c>
      <c r="AA24" t="str">
        <f t="array" ref="AA24">IF(SUM(COUNTIF(H24,{"*Deep*";"*Bass*";"*Slap*"})),"**Deep House**House**Dance**",IF(SUM(COUNTIF(H24,{"*Lo-Fi*"})),"**Lo-Fi Pop**Lo-Fi Beats**Lo-Fi**",IF(SUM(COUNTIF(H24,{"*Tech*"})),"**Deep House**Tech House**Dance**",IF(SUM(COUNTIF(H24,{"*Indie/Chill Dance*"})),"**Indie Dance**Indie Electronic**Dance Pop**",IF(SUM(COUNTIF(H24,{"*Piano*"})),"**House**Electro house**Melodic House**",IF(SUM(COUNTIF(H24,{"*EDM*"})),"**EDM**Electro house**Dance Pop**",IF(H24="","","")))))))</f>
        <v/>
      </c>
      <c r="AB24" t="str">
        <f t="array" ref="AB24">IF(SUM(COUNTIF(H24,{"*Deep*";"*Bass*";"*Slap*"})),"Energetic,Happy",IF(SUM(COUNTIF(H24,{"*Lo-Fi*"})),"Romantic,Chill",IF(SUM(COUNTIF(H24,{"*Tech*"})),"Energetic,Happy",IF(SUM(COUNTIF(H24,{"*Indie/Chill Dance*"})),"Energetic,Chill",IF(SUM(COUNTIF(H24,{"*Piano*"})),"Energetic,Happy",IF(SUM(COUNTIF(H24,{"*EDM*"})),"Energetic,Happy",IF(H24="","","")))))))</f>
        <v/>
      </c>
      <c r="AC24" t="str">
        <f t="array" ref="AC24">IF(SUM(COUNTIF(H24,{"*Deep*";"*Bass*";"*Slap*"})),"None of these",IF(SUM(COUNTIF(H24,{"*Lo-Fi*"})),"Holiday,Beats",IF(SUM(COUNTIF(H24,{"*Tech*"})),"None of these",IF(SUM(COUNTIF(H24,{"*Indie/Chill Dance*"})),"None of these",IF(SUM(COUNTIF(H24,{"*Piano*"})),"None of these",IF(SUM(COUNTIF(H24,{"*EDM*"})),"None of these",IF(H24="","","")))))))</f>
        <v/>
      </c>
      <c r="AD24" t="str">
        <f t="array" ref="AD24">IF(SUM(COUNTIF(H24,{"*Deep*";"*Bass*";"*Slap*"})),"Samples,Synthesizer,Bass Guitar,Piano,Drum Kit,Electric Guitar",IF(SUM(COUNTIF(H24,{"*Lo-Fi*"})),"Samples,Synthesizer,Bass Guitar,Piano,Drum Kit,Electric Guitar",IF(SUM(COUNTIF(H24,{"*Tech*"})),"Samples,Synthesizer,Bass Guitar,Piano,Drum Kit,Electric Guitar",IF(SUM(COUNTIF(H24,{"*Indie/Chill Dance*"})),"Samples,Synthesizer,Bass Guitar,Piano,Drum Kit,Electric Guitar",IF(SUM(COUNTIF(H24,{"*Piano*"})),"Samples,Synthesizer,Bass Guitar,Piano,Drum Kit,Electric Guitar",IF(SUM(COUNTIF(H24,{"*EDM*"})),"Samples,Synthesizer,Bass Guitar,Piano,Drum Kit,Electric Guitar",IF(H24="","","")))))))</f>
        <v/>
      </c>
      <c r="AE24" t="str">
        <f t="array" ref="AE24">IF(N24="Cover","Yes",IF(SUM(COUNTIF(N24,{"*Radio/Extended*";"*Radio*";"*Remix*"})),"No",""))</f>
        <v/>
      </c>
      <c r="AF24" t="str">
        <f t="array" ref="AF24">IF(N24="Remix","Yes",IF(SUM(COUNTIF(N24,{"*Radio/Extended*";"*Radio*";"*Cover*"})),"No",""))</f>
        <v/>
      </c>
      <c r="AG24" t="str">
        <f t="shared" si="4"/>
        <v/>
      </c>
      <c r="AH24" t="str">
        <f t="array" aca="1" ref="AH24" ca="1">+TRIM(SUBSTITUTE(SUBSTITUTE(SUBSTITUTE(SUBSTITUTE(IFERROR(AQ24&amp;" "&amp;+_xlfn.XLOOKUP(((SUM(LEN(AP24))-SUM(LEN(SUBSTITUTE(AP24,",",""))))/LEN(",")+1)&amp;H24,#REF!&amp;#REF!,#REF!)&amp;CHAR(34)&amp;B24&amp;CHAR(34)&amp;"!"&amp;_xlfn.XLOOKUP(H24,#REF!,#REF!&amp;#REF!),""),"Second",AR24),"Third",AS24),"Forth",AT24),"Fifth",AU24&amp;" "))</f>
        <v/>
      </c>
      <c r="AI24" t="str">
        <f t="array" ref="AI24">IF(SUM(COUNTIF(H24,{"*Deep*";"*Bass*";"*Slap*"})),"**Deep House**Progressive House**House**",IF(SUM(COUNTIF(H24,{"*Lo-Fi*"})),"**Lo-Fi Hip Hop**Indie &amp; Lo Fi**Lounge**",IF(SUM(COUNTIF(H24,{"*Tech*"})),"**Tech House**Techno**Future House**",IF(SUM(COUNTIF(H24,{"*Indie/Chill Dance*"})),"**Chill Electronic**Indie Dance**Ambient**",IF(SUM(COUNTIF(H24,{"*Piano*"})),"**Progressive House**House**Dance Pop**",IF(SUM(COUNTIF(H24,{"*EDM*"})),"**Progressive House**House**EDM**",IF(H24="","","")))))))</f>
        <v/>
      </c>
      <c r="AJ24" t="str">
        <f t="shared" si="5"/>
        <v/>
      </c>
      <c r="AK24" t="str">
        <f t="array" ref="AK24">IF(SUM(COUNTIF(H24,{"*Deep*";"*Bass*";"*Slap*"})),"**Tiësto**Imanbek**",IF(SUM(COUNTIF(H24,{"*Lo-Fi*"})),"**L.Dre**Yasumu**",IF(SUM(COUNTIF(H24,{"*Tech*"})),"**Mau P**Gorgon City**",IF(SUM(COUNTIF(H24,{"*Indie/Chill Dance*"})),"**Felix Jaehn**Lost Frequencies**",IF(SUM(COUNTIF(H24,{"*Piano*"})),"**Avicii**Eric Prydz**",IF(SUM(COUNTIF(H24,{"*EDM*"})),"**David Guetta**Swedish House Mafia**",IF(H24="","","")))))))</f>
        <v/>
      </c>
      <c r="AL24" t="str">
        <f t="array" aca="1" ref="AL24" ca="1">+IFERROR(INDEX(INDIRECT((_xlfn.XLOOKUP(H24,map_country[Genre],map_country[country]))),RANK(INDIRECT((_xlfn.XLOOKUP(H24,map_country[Genre],map_country[min+4])),FALSE),INDIRECT((_xlfn.XLOOKUP(H24,map_country[Genre],map_country[rand]))),1)),"")</f>
        <v/>
      </c>
      <c r="AM24" t="str">
        <f t="array" ref="AM24">IF(SUM(COUNTIF(H24,{"*Deep*";"*Bass*";"*Slap*"})),"Cool,Upbeat,Dark",IF(SUM(COUNTIF(H24,{"*Lo-Fi*"})),"Sexy,Relaxing,Romantic",IF(SUM(COUNTIF(H24,{"*Tech*"})),"Cool,Upbeat,Dark",IF(SUM(COUNTIF(H24,{"*Indie/Chill Dance*"})),"Cool,Upbeat,Light",IF(SUM(COUNTIF(H24,{"*Piano*"})),"Cool,Upbeat,Light",IF(SUM(COUNTIF(H24,{"*EDM*"})),"Cool,Upbeat,Happy Mood",IF(H24="","","")))))))</f>
        <v/>
      </c>
      <c r="AN24" t="str">
        <f t="array" ref="AN24">IF(SUM(COUNTIF(H24,{"*Deep*";"*Bass*";"*Slap*"})),"Hard &amp; Heavy,Chilling Out &amp; Lounging,Happy &amp; Upbeat",IF(SUM(COUNTIF(H24,{"*Lo-Fi*"})),"Work, Study &amp; Reading,Chilling Out &amp; Lounging,Relaxed &amp; Laid Back",IF(SUM(COUNTIF(H24,{"*Tech*"})),"Hard &amp; Heavy,Chilling Out &amp; Lounging,Happy &amp; Upbeat",IF(SUM(COUNTIF(H24,{"*Indie/Chill Dance*"})),"Hard &amp; Heavy,Chilling Out &amp; Lounging,Happy &amp; Upbeat",IF(SUM(COUNTIF(H24,{"*Piano*"})),"Hard &amp; Heavy,Chilling Out &amp; Lounging,Happy &amp; Upbeat",IF(SUM(COUNTIF(H24,{"*EDM*"})),"Hard &amp; Heavy,Chilling Out &amp; Lounging,Happy &amp; Upbeat",IF(H24="","","")))))))</f>
        <v/>
      </c>
      <c r="AP24" s="9" t="str">
        <f t="shared" si="6"/>
        <v/>
      </c>
      <c r="AQ24" s="9" t="str">
        <f ca="1">IFERROR(_xlfn.TEXTBEFORE(AP24,","),AP24)</f>
        <v/>
      </c>
      <c r="AR24" s="9" t="str">
        <f ca="1">IFERROR(TRIM(SUBSTITUTE(SUBSTITUTE(SUBSTITUTE(SUBSTITUTE(_xlfn.TEXTAFTER(AP24,",",1),AS24,""),AT24,""),AU24,""),",","")),"")</f>
        <v/>
      </c>
      <c r="AS24" s="9" t="str">
        <f ca="1">IFERROR(SUBSTITUTE(SUBSTITUTE(SUBSTITUTE(_xlfn.TEXTAFTER(AP24,",",2),AT24,""),",",""),AU24,""),"")</f>
        <v/>
      </c>
      <c r="AT24" s="9" t="str">
        <f ca="1">IFERROR(SUBSTITUTE(SUBSTITUTE(_xlfn.TEXTAFTER(AP24,",",3),AU24,""),",",""),"")</f>
        <v/>
      </c>
      <c r="AU24" s="9" t="str">
        <f ca="1">IFERROR(_xlfn.TEXTAFTER(AP24,",",4),"")</f>
        <v/>
      </c>
      <c r="AX24" t="s">
        <v>40</v>
      </c>
      <c r="BA24" t="s">
        <v>130</v>
      </c>
      <c r="BB24" t="s">
        <v>46</v>
      </c>
      <c r="BC24">
        <f t="shared" ca="1" si="10"/>
        <v>0.39263036204810298</v>
      </c>
      <c r="BF24" t="s">
        <v>130</v>
      </c>
      <c r="BG24" t="s">
        <v>48</v>
      </c>
      <c r="BH24">
        <f t="shared" ca="1" si="11"/>
        <v>0.52040743573049653</v>
      </c>
      <c r="BJ24" t="s">
        <v>130</v>
      </c>
      <c r="BK24" t="s">
        <v>50</v>
      </c>
      <c r="BL24">
        <f t="shared" ca="1" si="12"/>
        <v>0.80784381811159189</v>
      </c>
      <c r="BN24" t="s">
        <v>130</v>
      </c>
      <c r="BO24" t="s">
        <v>52</v>
      </c>
      <c r="BP24">
        <f t="shared" ca="1" si="13"/>
        <v>0.50411433994537003</v>
      </c>
      <c r="BR24" t="s">
        <v>130</v>
      </c>
      <c r="BS24" t="s">
        <v>57</v>
      </c>
      <c r="BT24">
        <f t="shared" ca="1" si="14"/>
        <v>0.41855146657847753</v>
      </c>
    </row>
    <row r="25" spans="6:72" x14ac:dyDescent="0.25">
      <c r="F25" s="3"/>
      <c r="H25" s="7"/>
      <c r="P25" t="str">
        <f t="shared" si="0"/>
        <v/>
      </c>
      <c r="Q25" t="str">
        <f t="shared" si="1"/>
        <v/>
      </c>
      <c r="R25" t="str">
        <f t="shared" si="2"/>
        <v/>
      </c>
      <c r="S25" t="str">
        <f t="array" ref="S25">IF(SUM(COUNTIF(H25,{"*Deep*";"*Bass*";"*Slap*"})),"Other:Deep House",IF(SUM(COUNTIF(H25,{"*Lo-Fi*"})),"Other:Lo-Fi",IF(SUM(COUNTIF(H25,{"*Tech*"})),"Other:Tech House",IF(SUM(COUNTIF(H25,{"*Indie/Chill Dance*"})),"Other:Indie/Chill Dance",IF(SUM(COUNTIF(H25,{"*Piano*"})),"Other:Piano House",IF(SUM(COUNTIF(H25,{"*EDM*"})),"edm dance",IF(H25="","","")))))))</f>
        <v/>
      </c>
      <c r="T25" t="str">
        <f t="array" ref="T25">IF(SUM(COUNTIF(H25,{"*Deep*";"*Bass*";"*Slap*"})),"energetic",IF(SUM(COUNTIF(H25,{"*Lo-Fi*"})),"calm",IF(SUM(COUNTIF(H25,{"*Tech*"})),"energetic",IF(SUM(COUNTIF(H25,{"*Indie/Chill Dance*"})),"chillout",IF(SUM(COUNTIF(H25,{"*Piano*"})),"energetic",IF(SUM(COUNTIF(H25,{"*EDM*"})),"energetic",IF(H25="","","")))))))</f>
        <v/>
      </c>
      <c r="U25" t="str">
        <f t="array" ref="U25">IF(SUM(COUNTIF(H25,{"*Tech*";"*EDM*";"*Indie*";"*Deep*";"*Piano*";"*Slap*";"*Brazilian Bass*"})),"Song would perfectly fit in any dance mood playlist! Label will invest up to 5000 EUR advertising on facebook and instagram ads aswell as promoting it over label and label partners playlists, radio stations and press.",IF(SUM(COUNTIF(H25,{"*Lo-Fi*"})),"Song would perfectly fit in any Lo-Fi mood playlist! Label will invest up to 5000 EUR advertising on facebook and instagram ads aswell as promoting it over label and label partners playlists, radio stations and press.",IF(H25="","","")))</f>
        <v/>
      </c>
      <c r="V25" t="str">
        <f t="shared" si="3"/>
        <v/>
      </c>
      <c r="W25" t="str">
        <f t="shared" si="7"/>
        <v/>
      </c>
      <c r="X25" t="str">
        <f t="shared" si="8"/>
        <v/>
      </c>
      <c r="Z25" t="str">
        <f t="array" aca="1" ref="Z25" ca="1">+IFERROR(INDEX(INDIRECT((_xlfn.XLOOKUP(H25,map_location[Genre],map_location[location]))),RANK(INDIRECT((_xlfn.XLOOKUP(H25,map_location[Genre],map_location[MIN+1])),FALSE),INDIRECT((_xlfn.XLOOKUP(H25,map_location[Genre],map_location[rand]))),1)),"")</f>
        <v/>
      </c>
      <c r="AA25" t="str">
        <f t="array" ref="AA25">IF(SUM(COUNTIF(H25,{"*Deep*";"*Bass*";"*Slap*"})),"**Deep House**House**Dance**",IF(SUM(COUNTIF(H25,{"*Lo-Fi*"})),"**Lo-Fi Pop**Lo-Fi Beats**Lo-Fi**",IF(SUM(COUNTIF(H25,{"*Tech*"})),"**Deep House**Tech House**Dance**",IF(SUM(COUNTIF(H25,{"*Indie/Chill Dance*"})),"**Indie Dance**Indie Electronic**Dance Pop**",IF(SUM(COUNTIF(H25,{"*Piano*"})),"**House**Electro house**Melodic House**",IF(SUM(COUNTIF(H25,{"*EDM*"})),"**EDM**Electro house**Dance Pop**",IF(H25="","","")))))))</f>
        <v/>
      </c>
      <c r="AB25" t="str">
        <f t="array" ref="AB25">IF(SUM(COUNTIF(H25,{"*Deep*";"*Bass*";"*Slap*"})),"Energetic,Happy",IF(SUM(COUNTIF(H25,{"*Lo-Fi*"})),"Romantic,Chill",IF(SUM(COUNTIF(H25,{"*Tech*"})),"Energetic,Happy",IF(SUM(COUNTIF(H25,{"*Indie/Chill Dance*"})),"Energetic,Chill",IF(SUM(COUNTIF(H25,{"*Piano*"})),"Energetic,Happy",IF(SUM(COUNTIF(H25,{"*EDM*"})),"Energetic,Happy",IF(H25="","","")))))))</f>
        <v/>
      </c>
      <c r="AC25" t="str">
        <f t="array" ref="AC25">IF(SUM(COUNTIF(H25,{"*Deep*";"*Bass*";"*Slap*"})),"None of these",IF(SUM(COUNTIF(H25,{"*Lo-Fi*"})),"Holiday,Beats",IF(SUM(COUNTIF(H25,{"*Tech*"})),"None of these",IF(SUM(COUNTIF(H25,{"*Indie/Chill Dance*"})),"None of these",IF(SUM(COUNTIF(H25,{"*Piano*"})),"None of these",IF(SUM(COUNTIF(H25,{"*EDM*"})),"None of these",IF(H25="","","")))))))</f>
        <v/>
      </c>
      <c r="AD25" t="str">
        <f t="array" ref="AD25">IF(SUM(COUNTIF(H25,{"*Deep*";"*Bass*";"*Slap*"})),"Samples,Synthesizer,Bass Guitar,Piano,Drum Kit,Electric Guitar",IF(SUM(COUNTIF(H25,{"*Lo-Fi*"})),"Samples,Synthesizer,Bass Guitar,Piano,Drum Kit,Electric Guitar",IF(SUM(COUNTIF(H25,{"*Tech*"})),"Samples,Synthesizer,Bass Guitar,Piano,Drum Kit,Electric Guitar",IF(SUM(COUNTIF(H25,{"*Indie/Chill Dance*"})),"Samples,Synthesizer,Bass Guitar,Piano,Drum Kit,Electric Guitar",IF(SUM(COUNTIF(H25,{"*Piano*"})),"Samples,Synthesizer,Bass Guitar,Piano,Drum Kit,Electric Guitar",IF(SUM(COUNTIF(H25,{"*EDM*"})),"Samples,Synthesizer,Bass Guitar,Piano,Drum Kit,Electric Guitar",IF(H25="","","")))))))</f>
        <v/>
      </c>
      <c r="AE25" t="str">
        <f t="array" ref="AE25">IF(N25="Cover","Yes",IF(SUM(COUNTIF(N25,{"*Radio/Extended*";"*Radio*";"*Remix*"})),"No",""))</f>
        <v/>
      </c>
      <c r="AF25" t="str">
        <f t="array" ref="AF25">IF(N25="Remix","Yes",IF(SUM(COUNTIF(N25,{"*Radio/Extended*";"*Radio*";"*Cover*"})),"No",""))</f>
        <v/>
      </c>
      <c r="AG25" t="str">
        <f t="shared" si="4"/>
        <v/>
      </c>
      <c r="AH25" t="str">
        <f t="array" aca="1" ref="AH25" ca="1">+TRIM(SUBSTITUTE(SUBSTITUTE(SUBSTITUTE(SUBSTITUTE(IFERROR(AQ25&amp;" "&amp;+_xlfn.XLOOKUP(((SUM(LEN(AP25))-SUM(LEN(SUBSTITUTE(AP25,",",""))))/LEN(",")+1)&amp;H25,#REF!&amp;#REF!,#REF!)&amp;CHAR(34)&amp;B25&amp;CHAR(34)&amp;"!"&amp;_xlfn.XLOOKUP(H25,#REF!,#REF!&amp;#REF!),""),"Second",AR25),"Third",AS25),"Forth",AT25),"Fifth",AU25&amp;" "))</f>
        <v/>
      </c>
      <c r="AI25" t="str">
        <f t="array" ref="AI25">IF(SUM(COUNTIF(H25,{"*Deep*";"*Bass*";"*Slap*"})),"**Deep House**Progressive House**House**",IF(SUM(COUNTIF(H25,{"*Lo-Fi*"})),"**Lo-Fi Hip Hop**Indie &amp; Lo Fi**Lounge**",IF(SUM(COUNTIF(H25,{"*Tech*"})),"**Tech House**Techno**Future House**",IF(SUM(COUNTIF(H25,{"*Indie/Chill Dance*"})),"**Chill Electronic**Indie Dance**Ambient**",IF(SUM(COUNTIF(H25,{"*Piano*"})),"**Progressive House**House**Dance Pop**",IF(SUM(COUNTIF(H25,{"*EDM*"})),"**Progressive House**House**EDM**",IF(H25="","","")))))))</f>
        <v/>
      </c>
      <c r="AJ25" t="str">
        <f t="shared" si="5"/>
        <v/>
      </c>
      <c r="AK25" t="str">
        <f t="array" ref="AK25">IF(SUM(COUNTIF(H25,{"*Deep*";"*Bass*";"*Slap*"})),"**Tiësto**Imanbek**",IF(SUM(COUNTIF(H25,{"*Lo-Fi*"})),"**L.Dre**Yasumu**",IF(SUM(COUNTIF(H25,{"*Tech*"})),"**Mau P**Gorgon City**",IF(SUM(COUNTIF(H25,{"*Indie/Chill Dance*"})),"**Felix Jaehn**Lost Frequencies**",IF(SUM(COUNTIF(H25,{"*Piano*"})),"**Avicii**Eric Prydz**",IF(SUM(COUNTIF(H25,{"*EDM*"})),"**David Guetta**Swedish House Mafia**",IF(H25="","","")))))))</f>
        <v/>
      </c>
      <c r="AL25" t="str">
        <f t="array" aca="1" ref="AL25" ca="1">+IFERROR(INDEX(INDIRECT((_xlfn.XLOOKUP(H25,map_country[Genre],map_country[country]))),RANK(INDIRECT((_xlfn.XLOOKUP(H25,map_country[Genre],map_country[min+4])),FALSE),INDIRECT((_xlfn.XLOOKUP(H25,map_country[Genre],map_country[rand]))),1)),"")</f>
        <v/>
      </c>
      <c r="AM25" t="str">
        <f t="array" ref="AM25">IF(SUM(COUNTIF(H25,{"*Deep*";"*Bass*";"*Slap*"})),"Cool,Upbeat,Dark",IF(SUM(COUNTIF(H25,{"*Lo-Fi*"})),"Sexy,Relaxing,Romantic",IF(SUM(COUNTIF(H25,{"*Tech*"})),"Cool,Upbeat,Dark",IF(SUM(COUNTIF(H25,{"*Indie/Chill Dance*"})),"Cool,Upbeat,Light",IF(SUM(COUNTIF(H25,{"*Piano*"})),"Cool,Upbeat,Light",IF(SUM(COUNTIF(H25,{"*EDM*"})),"Cool,Upbeat,Happy Mood",IF(H25="","","")))))))</f>
        <v/>
      </c>
      <c r="AN25" t="str">
        <f t="array" ref="AN25">IF(SUM(COUNTIF(H25,{"*Deep*";"*Bass*";"*Slap*"})),"Hard &amp; Heavy,Chilling Out &amp; Lounging,Happy &amp; Upbeat",IF(SUM(COUNTIF(H25,{"*Lo-Fi*"})),"Work, Study &amp; Reading,Chilling Out &amp; Lounging,Relaxed &amp; Laid Back",IF(SUM(COUNTIF(H25,{"*Tech*"})),"Hard &amp; Heavy,Chilling Out &amp; Lounging,Happy &amp; Upbeat",IF(SUM(COUNTIF(H25,{"*Indie/Chill Dance*"})),"Hard &amp; Heavy,Chilling Out &amp; Lounging,Happy &amp; Upbeat",IF(SUM(COUNTIF(H25,{"*Piano*"})),"Hard &amp; Heavy,Chilling Out &amp; Lounging,Happy &amp; Upbeat",IF(SUM(COUNTIF(H25,{"*EDM*"})),"Hard &amp; Heavy,Chilling Out &amp; Lounging,Happy &amp; Upbeat",IF(H25="","","")))))))</f>
        <v/>
      </c>
      <c r="AP25" s="9" t="str">
        <f t="shared" si="6"/>
        <v/>
      </c>
      <c r="AQ25" s="9" t="str">
        <f ca="1">IFERROR(_xlfn.TEXTBEFORE(AP25,","),AP25)</f>
        <v/>
      </c>
      <c r="AR25" s="9" t="str">
        <f ca="1">IFERROR(TRIM(SUBSTITUTE(SUBSTITUTE(SUBSTITUTE(SUBSTITUTE(_xlfn.TEXTAFTER(AP25,",",1),AS25,""),AT25,""),AU25,""),",","")),"")</f>
        <v/>
      </c>
      <c r="AS25" s="9" t="str">
        <f ca="1">IFERROR(SUBSTITUTE(SUBSTITUTE(SUBSTITUTE(_xlfn.TEXTAFTER(AP25,",",2),AT25,""),",",""),AU25,""),"")</f>
        <v/>
      </c>
      <c r="AT25" s="9" t="str">
        <f ca="1">IFERROR(SUBSTITUTE(SUBSTITUTE(_xlfn.TEXTAFTER(AP25,",",3),AU25,""),",",""),"")</f>
        <v/>
      </c>
      <c r="AU25" s="9" t="str">
        <f ca="1">IFERROR(_xlfn.TEXTAFTER(AP25,",",4),"")</f>
        <v/>
      </c>
      <c r="AX25" t="s">
        <v>40</v>
      </c>
      <c r="BA25" t="s">
        <v>131</v>
      </c>
      <c r="BB25" t="s">
        <v>46</v>
      </c>
      <c r="BC25">
        <f t="shared" ca="1" si="10"/>
        <v>0.8925071265297968</v>
      </c>
      <c r="BF25" t="s">
        <v>131</v>
      </c>
      <c r="BG25" t="s">
        <v>48</v>
      </c>
      <c r="BH25">
        <f t="shared" ca="1" si="11"/>
        <v>0.26595309683175805</v>
      </c>
      <c r="BJ25" t="s">
        <v>131</v>
      </c>
      <c r="BK25" t="s">
        <v>50</v>
      </c>
      <c r="BL25">
        <f t="shared" ca="1" si="12"/>
        <v>0.16802500850995983</v>
      </c>
      <c r="BN25" t="s">
        <v>131</v>
      </c>
      <c r="BO25" t="s">
        <v>52</v>
      </c>
      <c r="BP25">
        <f t="shared" ca="1" si="13"/>
        <v>0.72222687619457704</v>
      </c>
      <c r="BR25" t="s">
        <v>131</v>
      </c>
      <c r="BS25" t="s">
        <v>57</v>
      </c>
      <c r="BT25">
        <f t="shared" ca="1" si="14"/>
        <v>0.13212055878589402</v>
      </c>
    </row>
    <row r="26" spans="6:72" x14ac:dyDescent="0.25">
      <c r="F26" s="3"/>
      <c r="H26" s="7"/>
      <c r="P26" t="str">
        <f t="shared" si="0"/>
        <v/>
      </c>
      <c r="Q26" t="str">
        <f t="shared" si="1"/>
        <v/>
      </c>
      <c r="R26" t="str">
        <f t="shared" si="2"/>
        <v/>
      </c>
      <c r="S26" t="str">
        <f t="array" ref="S26">IF(SUM(COUNTIF(H26,{"*Deep*";"*Bass*";"*Slap*"})),"Other:Deep House",IF(SUM(COUNTIF(H26,{"*Lo-Fi*"})),"Other:Lo-Fi",IF(SUM(COUNTIF(H26,{"*Tech*"})),"Other:Tech House",IF(SUM(COUNTIF(H26,{"*Indie/Chill Dance*"})),"Other:Indie/Chill Dance",IF(SUM(COUNTIF(H26,{"*Piano*"})),"Other:Piano House",IF(SUM(COUNTIF(H26,{"*EDM*"})),"edm dance",IF(H26="","","")))))))</f>
        <v/>
      </c>
      <c r="T26" t="str">
        <f t="array" ref="T26">IF(SUM(COUNTIF(H26,{"*Deep*";"*Bass*";"*Slap*"})),"energetic",IF(SUM(COUNTIF(H26,{"*Lo-Fi*"})),"calm",IF(SUM(COUNTIF(H26,{"*Tech*"})),"energetic",IF(SUM(COUNTIF(H26,{"*Indie/Chill Dance*"})),"chillout",IF(SUM(COUNTIF(H26,{"*Piano*"})),"energetic",IF(SUM(COUNTIF(H26,{"*EDM*"})),"energetic",IF(H26="","","")))))))</f>
        <v/>
      </c>
      <c r="U26" t="str">
        <f t="array" ref="U26">IF(SUM(COUNTIF(H26,{"*Tech*";"*EDM*";"*Indie*";"*Deep*";"*Piano*";"*Slap*";"*Brazilian Bass*"})),"Song would perfectly fit in any dance mood playlist! Label will invest up to 5000 EUR advertising on facebook and instagram ads aswell as promoting it over label and label partners playlists, radio stations and press.",IF(SUM(COUNTIF(H26,{"*Lo-Fi*"})),"Song would perfectly fit in any Lo-Fi mood playlist! Label will invest up to 5000 EUR advertising on facebook and instagram ads aswell as promoting it over label and label partners playlists, radio stations and press.",IF(H26="","","")))</f>
        <v/>
      </c>
      <c r="V26" t="str">
        <f t="shared" si="3"/>
        <v/>
      </c>
      <c r="W26" t="str">
        <f t="shared" si="7"/>
        <v/>
      </c>
      <c r="X26" t="str">
        <f t="shared" si="8"/>
        <v/>
      </c>
      <c r="Z26" t="str">
        <f t="array" aca="1" ref="Z26" ca="1">+IFERROR(INDEX(INDIRECT((_xlfn.XLOOKUP(H26,map_location[Genre],map_location[location]))),RANK(INDIRECT((_xlfn.XLOOKUP(H26,map_location[Genre],map_location[MIN+2])),FALSE),INDIRECT((_xlfn.XLOOKUP(H26,map_location[Genre],map_location[rand]))),1)),"")</f>
        <v/>
      </c>
      <c r="AA26" t="str">
        <f t="array" ref="AA26">IF(SUM(COUNTIF(H26,{"*Deep*";"*Bass*";"*Slap*"})),"**Deep House**House**Dance**",IF(SUM(COUNTIF(H26,{"*Lo-Fi*"})),"**Lo-Fi Pop**Lo-Fi Beats**Lo-Fi**",IF(SUM(COUNTIF(H26,{"*Tech*"})),"**Deep House**Tech House**Dance**",IF(SUM(COUNTIF(H26,{"*Indie/Chill Dance*"})),"**Indie Dance**Indie Electronic**Dance Pop**",IF(SUM(COUNTIF(H26,{"*Piano*"})),"**House**Electro house**Melodic House**",IF(SUM(COUNTIF(H26,{"*EDM*"})),"**EDM**Electro house**Dance Pop**",IF(H26="","","")))))))</f>
        <v/>
      </c>
      <c r="AB26" t="str">
        <f t="array" ref="AB26">IF(SUM(COUNTIF(H26,{"*Deep*";"*Bass*";"*Slap*"})),"Energetic,Happy",IF(SUM(COUNTIF(H26,{"*Lo-Fi*"})),"Romantic,Chill",IF(SUM(COUNTIF(H26,{"*Tech*"})),"Energetic,Happy",IF(SUM(COUNTIF(H26,{"*Indie/Chill Dance*"})),"Energetic,Chill",IF(SUM(COUNTIF(H26,{"*Piano*"})),"Energetic,Happy",IF(SUM(COUNTIF(H26,{"*EDM*"})),"Energetic,Happy",IF(H26="","","")))))))</f>
        <v/>
      </c>
      <c r="AC26" t="str">
        <f t="array" ref="AC26">IF(SUM(COUNTIF(H26,{"*Deep*";"*Bass*";"*Slap*"})),"None of these",IF(SUM(COUNTIF(H26,{"*Lo-Fi*"})),"Holiday,Beats",IF(SUM(COUNTIF(H26,{"*Tech*"})),"None of these",IF(SUM(COUNTIF(H26,{"*Indie/Chill Dance*"})),"None of these",IF(SUM(COUNTIF(H26,{"*Piano*"})),"None of these",IF(SUM(COUNTIF(H26,{"*EDM*"})),"None of these",IF(H26="","","")))))))</f>
        <v/>
      </c>
      <c r="AD26" t="str">
        <f t="array" ref="AD26">IF(SUM(COUNTIF(H26,{"*Deep*";"*Bass*";"*Slap*"})),"Samples,Synthesizer,Bass Guitar,Piano,Drum Kit,Electric Guitar",IF(SUM(COUNTIF(H26,{"*Lo-Fi*"})),"Samples,Synthesizer,Bass Guitar,Piano,Drum Kit,Electric Guitar",IF(SUM(COUNTIF(H26,{"*Tech*"})),"Samples,Synthesizer,Bass Guitar,Piano,Drum Kit,Electric Guitar",IF(SUM(COUNTIF(H26,{"*Indie/Chill Dance*"})),"Samples,Synthesizer,Bass Guitar,Piano,Drum Kit,Electric Guitar",IF(SUM(COUNTIF(H26,{"*Piano*"})),"Samples,Synthesizer,Bass Guitar,Piano,Drum Kit,Electric Guitar",IF(SUM(COUNTIF(H26,{"*EDM*"})),"Samples,Synthesizer,Bass Guitar,Piano,Drum Kit,Electric Guitar",IF(H26="","","")))))))</f>
        <v/>
      </c>
      <c r="AE26" t="str">
        <f t="array" ref="AE26">IF(N26="Cover","Yes",IF(SUM(COUNTIF(N26,{"*Radio/Extended*";"*Radio*";"*Remix*"})),"No",""))</f>
        <v/>
      </c>
      <c r="AF26" t="str">
        <f t="array" ref="AF26">IF(N26="Remix","Yes",IF(SUM(COUNTIF(N26,{"*Radio/Extended*";"*Radio*";"*Cover*"})),"No",""))</f>
        <v/>
      </c>
      <c r="AG26" t="str">
        <f t="shared" si="4"/>
        <v/>
      </c>
      <c r="AH26" t="str">
        <f t="array" aca="1" ref="AH26" ca="1">+TRIM(SUBSTITUTE(SUBSTITUTE(SUBSTITUTE(SUBSTITUTE(IFERROR(AQ26&amp;" "&amp;+_xlfn.XLOOKUP(((SUM(LEN(AP26))-SUM(LEN(SUBSTITUTE(AP26,",",""))))/LEN(",")+1)&amp;H26,#REF!&amp;#REF!,#REF!)&amp;CHAR(34)&amp;B26&amp;CHAR(34)&amp;"!"&amp;_xlfn.XLOOKUP(H26,#REF!,#REF!&amp;#REF!),""),"Second",AR26),"Third",AS26),"Forth",AT26),"Fifth",AU26&amp;" "))</f>
        <v/>
      </c>
      <c r="AI26" t="str">
        <f t="array" ref="AI26">IF(SUM(COUNTIF(H26,{"*Deep*";"*Bass*";"*Slap*"})),"**Deep House**Progressive House**House**",IF(SUM(COUNTIF(H26,{"*Lo-Fi*"})),"**Lo-Fi Hip Hop**Indie &amp; Lo Fi**Lounge**",IF(SUM(COUNTIF(H26,{"*Tech*"})),"**Tech House**Techno**Future House**",IF(SUM(COUNTIF(H26,{"*Indie/Chill Dance*"})),"**Chill Electronic**Indie Dance**Ambient**",IF(SUM(COUNTIF(H26,{"*Piano*"})),"**Progressive House**House**Dance Pop**",IF(SUM(COUNTIF(H26,{"*EDM*"})),"**Progressive House**House**EDM**",IF(H26="","","")))))))</f>
        <v/>
      </c>
      <c r="AJ26" t="str">
        <f t="shared" si="5"/>
        <v/>
      </c>
      <c r="AK26" t="str">
        <f t="array" ref="AK26">IF(SUM(COUNTIF(H26,{"*Deep*";"*Bass*";"*Slap*"})),"**Tiësto**Imanbek**",IF(SUM(COUNTIF(H26,{"*Lo-Fi*"})),"**L.Dre**Yasumu**",IF(SUM(COUNTIF(H26,{"*Tech*"})),"**Mau P**Gorgon City**",IF(SUM(COUNTIF(H26,{"*Indie/Chill Dance*"})),"**Felix Jaehn**Lost Frequencies**",IF(SUM(COUNTIF(H26,{"*Piano*"})),"**Avicii**Eric Prydz**",IF(SUM(COUNTIF(H26,{"*EDM*"})),"**David Guetta**Swedish House Mafia**",IF(H26="","","")))))))</f>
        <v/>
      </c>
      <c r="AL26" t="str">
        <f t="array" aca="1" ref="AL26" ca="1">+IFERROR(INDEX(INDIRECT((_xlfn.XLOOKUP(H26,map_country[Genre],map_country[country]))),RANK(INDIRECT((_xlfn.XLOOKUP(H26,map_country[Genre],map_country[min+5])),FALSE),INDIRECT((_xlfn.XLOOKUP(H26,map_country[Genre],map_country[rand]))),1)),"")</f>
        <v/>
      </c>
      <c r="AM26" t="str">
        <f t="array" ref="AM26">IF(SUM(COUNTIF(H26,{"*Deep*";"*Bass*";"*Slap*"})),"Cool,Upbeat,Dark",IF(SUM(COUNTIF(H26,{"*Lo-Fi*"})),"Sexy,Relaxing,Romantic",IF(SUM(COUNTIF(H26,{"*Tech*"})),"Cool,Upbeat,Dark",IF(SUM(COUNTIF(H26,{"*Indie/Chill Dance*"})),"Cool,Upbeat,Light",IF(SUM(COUNTIF(H26,{"*Piano*"})),"Cool,Upbeat,Light",IF(SUM(COUNTIF(H26,{"*EDM*"})),"Cool,Upbeat,Happy Mood",IF(H26="","","")))))))</f>
        <v/>
      </c>
      <c r="AN26" t="str">
        <f t="array" ref="AN26">IF(SUM(COUNTIF(H26,{"*Deep*";"*Bass*";"*Slap*"})),"Hard &amp; Heavy,Chilling Out &amp; Lounging,Happy &amp; Upbeat",IF(SUM(COUNTIF(H26,{"*Lo-Fi*"})),"Work, Study &amp; Reading,Chilling Out &amp; Lounging,Relaxed &amp; Laid Back",IF(SUM(COUNTIF(H26,{"*Tech*"})),"Hard &amp; Heavy,Chilling Out &amp; Lounging,Happy &amp; Upbeat",IF(SUM(COUNTIF(H26,{"*Indie/Chill Dance*"})),"Hard &amp; Heavy,Chilling Out &amp; Lounging,Happy &amp; Upbeat",IF(SUM(COUNTIF(H26,{"*Piano*"})),"Hard &amp; Heavy,Chilling Out &amp; Lounging,Happy &amp; Upbeat",IF(SUM(COUNTIF(H26,{"*EDM*"})),"Hard &amp; Heavy,Chilling Out &amp; Lounging,Happy &amp; Upbeat",IF(H26="","","")))))))</f>
        <v/>
      </c>
      <c r="AP26" s="9" t="str">
        <f t="shared" si="6"/>
        <v/>
      </c>
      <c r="AQ26" s="9" t="str">
        <f ca="1">IFERROR(_xlfn.TEXTBEFORE(AP26,","),AP26)</f>
        <v/>
      </c>
      <c r="AR26" s="9" t="str">
        <f ca="1">IFERROR(TRIM(SUBSTITUTE(SUBSTITUTE(SUBSTITUTE(SUBSTITUTE(_xlfn.TEXTAFTER(AP26,",",1),AS26,""),AT26,""),AU26,""),",","")),"")</f>
        <v/>
      </c>
      <c r="AS26" s="9" t="str">
        <f ca="1">IFERROR(SUBSTITUTE(SUBSTITUTE(SUBSTITUTE(_xlfn.TEXTAFTER(AP26,",",2),AT26,""),",",""),AU26,""),"")</f>
        <v/>
      </c>
      <c r="AT26" s="9" t="str">
        <f ca="1">IFERROR(SUBSTITUTE(SUBSTITUTE(_xlfn.TEXTAFTER(AP26,",",3),AU26,""),",",""),"")</f>
        <v/>
      </c>
      <c r="AU26" s="9" t="str">
        <f ca="1">IFERROR(_xlfn.TEXTAFTER(AP26,",",4),"")</f>
        <v/>
      </c>
      <c r="AX26" t="s">
        <v>40</v>
      </c>
      <c r="BA26" t="s">
        <v>132</v>
      </c>
      <c r="BB26" t="s">
        <v>46</v>
      </c>
      <c r="BC26">
        <f t="shared" ca="1" si="10"/>
        <v>0.87588411482236606</v>
      </c>
      <c r="BF26" t="s">
        <v>132</v>
      </c>
      <c r="BG26" t="s">
        <v>48</v>
      </c>
      <c r="BH26">
        <f t="shared" ca="1" si="11"/>
        <v>0.84081108426679774</v>
      </c>
      <c r="BJ26" t="s">
        <v>132</v>
      </c>
      <c r="BK26" t="s">
        <v>50</v>
      </c>
      <c r="BL26">
        <f t="shared" ca="1" si="12"/>
        <v>0.16319461326338536</v>
      </c>
      <c r="BN26" t="s">
        <v>132</v>
      </c>
      <c r="BO26" t="s">
        <v>52</v>
      </c>
      <c r="BP26">
        <f t="shared" ca="1" si="13"/>
        <v>3.5785493171352489E-2</v>
      </c>
      <c r="BR26" t="s">
        <v>132</v>
      </c>
      <c r="BS26" t="s">
        <v>57</v>
      </c>
      <c r="BT26">
        <f t="shared" ca="1" si="14"/>
        <v>0.28553594101689672</v>
      </c>
    </row>
    <row r="27" spans="6:72" x14ac:dyDescent="0.25">
      <c r="F27" s="3"/>
      <c r="H27" s="7"/>
      <c r="P27" t="str">
        <f t="shared" si="0"/>
        <v/>
      </c>
      <c r="Q27" t="str">
        <f t="shared" si="1"/>
        <v/>
      </c>
      <c r="R27" t="str">
        <f t="shared" si="2"/>
        <v/>
      </c>
      <c r="S27" t="str">
        <f t="array" ref="S27">IF(SUM(COUNTIF(H27,{"*Deep*";"*Bass*";"*Slap*"})),"Other:Deep House",IF(SUM(COUNTIF(H27,{"*Lo-Fi*"})),"Other:Lo-Fi",IF(SUM(COUNTIF(H27,{"*Tech*"})),"Other:Tech House",IF(SUM(COUNTIF(H27,{"*Indie/Chill Dance*"})),"Other:Indie/Chill Dance",IF(SUM(COUNTIF(H27,{"*Piano*"})),"Other:Piano House",IF(SUM(COUNTIF(H27,{"*EDM*"})),"edm dance",IF(H27="","","")))))))</f>
        <v/>
      </c>
      <c r="T27" t="str">
        <f t="array" ref="T27">IF(SUM(COUNTIF(H27,{"*Deep*";"*Bass*";"*Slap*"})),"energetic",IF(SUM(COUNTIF(H27,{"*Lo-Fi*"})),"calm",IF(SUM(COUNTIF(H27,{"*Tech*"})),"energetic",IF(SUM(COUNTIF(H27,{"*Indie/Chill Dance*"})),"chillout",IF(SUM(COUNTIF(H27,{"*Piano*"})),"energetic",IF(SUM(COUNTIF(H27,{"*EDM*"})),"energetic",IF(H27="","","")))))))</f>
        <v/>
      </c>
      <c r="U27" t="str">
        <f t="array" ref="U27">IF(SUM(COUNTIF(H27,{"*Tech*";"*EDM*";"*Indie*";"*Deep*";"*Piano*";"*Slap*";"*Brazilian Bass*"})),"Song would perfectly fit in any dance mood playlist! Label will invest up to 5000 EUR advertising on facebook and instagram ads aswell as promoting it over label and label partners playlists, radio stations and press.",IF(SUM(COUNTIF(H27,{"*Lo-Fi*"})),"Song would perfectly fit in any Lo-Fi mood playlist! Label will invest up to 5000 EUR advertising on facebook and instagram ads aswell as promoting it over label and label partners playlists, radio stations and press.",IF(H27="","","")))</f>
        <v/>
      </c>
      <c r="V27" t="str">
        <f t="shared" si="3"/>
        <v/>
      </c>
      <c r="W27" t="str">
        <f t="shared" si="7"/>
        <v/>
      </c>
      <c r="X27" t="str">
        <f t="shared" si="8"/>
        <v/>
      </c>
      <c r="Z27" t="str">
        <f t="array" aca="1" ref="Z27" ca="1">+IFERROR(INDEX(INDIRECT((_xlfn.XLOOKUP(H27,map_location[Genre],map_location[location]))),RANK(INDIRECT((_xlfn.XLOOKUP(H27,map_location[Genre],map_location[MIN+2])),FALSE),INDIRECT((_xlfn.XLOOKUP(H27,map_location[Genre],map_location[rand]))),1)),"")</f>
        <v/>
      </c>
      <c r="AA27" t="str">
        <f t="array" ref="AA27">IF(SUM(COUNTIF(H27,{"*Deep*";"*Bass*";"*Slap*"})),"**Deep House**House**Dance**",IF(SUM(COUNTIF(H27,{"*Lo-Fi*"})),"**Lo-Fi Pop**Lo-Fi Beats**Lo-Fi**",IF(SUM(COUNTIF(H27,{"*Tech*"})),"**Deep House**Tech House**Dance**",IF(SUM(COUNTIF(H27,{"*Indie/Chill Dance*"})),"**Indie Dance**Indie Electronic**Dance Pop**",IF(SUM(COUNTIF(H27,{"*Piano*"})),"**House**Electro house**Melodic House**",IF(SUM(COUNTIF(H27,{"*EDM*"})),"**EDM**Electro house**Dance Pop**",IF(H27="","","")))))))</f>
        <v/>
      </c>
      <c r="AB27" t="str">
        <f t="array" ref="AB27">IF(SUM(COUNTIF(H27,{"*Deep*";"*Bass*";"*Slap*"})),"Energetic,Happy",IF(SUM(COUNTIF(H27,{"*Lo-Fi*"})),"Romantic,Chill",IF(SUM(COUNTIF(H27,{"*Tech*"})),"Energetic,Happy",IF(SUM(COUNTIF(H27,{"*Indie/Chill Dance*"})),"Energetic,Chill",IF(SUM(COUNTIF(H27,{"*Piano*"})),"Energetic,Happy",IF(SUM(COUNTIF(H27,{"*EDM*"})),"Energetic,Happy",IF(H27="","","")))))))</f>
        <v/>
      </c>
      <c r="AC27" t="str">
        <f t="array" ref="AC27">IF(SUM(COUNTIF(H27,{"*Deep*";"*Bass*";"*Slap*"})),"None of these",IF(SUM(COUNTIF(H27,{"*Lo-Fi*"})),"Holiday,Beats",IF(SUM(COUNTIF(H27,{"*Tech*"})),"None of these",IF(SUM(COUNTIF(H27,{"*Indie/Chill Dance*"})),"None of these",IF(SUM(COUNTIF(H27,{"*Piano*"})),"None of these",IF(SUM(COUNTIF(H27,{"*EDM*"})),"None of these",IF(H27="","","")))))))</f>
        <v/>
      </c>
      <c r="AD27" t="str">
        <f t="array" ref="AD27">IF(SUM(COUNTIF(H27,{"*Deep*";"*Bass*";"*Slap*"})),"Samples,Synthesizer,Bass Guitar,Piano,Drum Kit,Electric Guitar",IF(SUM(COUNTIF(H27,{"*Lo-Fi*"})),"Samples,Synthesizer,Bass Guitar,Piano,Drum Kit,Electric Guitar",IF(SUM(COUNTIF(H27,{"*Tech*"})),"Samples,Synthesizer,Bass Guitar,Piano,Drum Kit,Electric Guitar",IF(SUM(COUNTIF(H27,{"*Indie/Chill Dance*"})),"Samples,Synthesizer,Bass Guitar,Piano,Drum Kit,Electric Guitar",IF(SUM(COUNTIF(H27,{"*Piano*"})),"Samples,Synthesizer,Bass Guitar,Piano,Drum Kit,Electric Guitar",IF(SUM(COUNTIF(H27,{"*EDM*"})),"Samples,Synthesizer,Bass Guitar,Piano,Drum Kit,Electric Guitar",IF(H27="","","")))))))</f>
        <v/>
      </c>
      <c r="AE27" t="str">
        <f t="array" ref="AE27">IF(N27="Cover","Yes",IF(SUM(COUNTIF(N27,{"*Radio/Extended*";"*Radio*";"*Remix*"})),"No",""))</f>
        <v/>
      </c>
      <c r="AF27" t="str">
        <f t="array" ref="AF27">IF(N27="Remix","Yes",IF(SUM(COUNTIF(N27,{"*Radio/Extended*";"*Radio*";"*Cover*"})),"No",""))</f>
        <v/>
      </c>
      <c r="AG27" t="str">
        <f t="shared" si="4"/>
        <v/>
      </c>
      <c r="AH27" t="str">
        <f t="array" aca="1" ref="AH27" ca="1">+TRIM(SUBSTITUTE(SUBSTITUTE(SUBSTITUTE(SUBSTITUTE(IFERROR(AQ27&amp;" "&amp;+_xlfn.XLOOKUP(((SUM(LEN(AP27))-SUM(LEN(SUBSTITUTE(AP27,",",""))))/LEN(",")+1)&amp;H27,#REF!&amp;#REF!,#REF!)&amp;CHAR(34)&amp;B27&amp;CHAR(34)&amp;"!"&amp;_xlfn.XLOOKUP(H27,#REF!,#REF!&amp;#REF!),""),"Second",AR27),"Third",AS27),"Forth",AT27),"Fifth",AU27&amp;" "))</f>
        <v/>
      </c>
      <c r="AI27" t="str">
        <f t="array" ref="AI27">IF(SUM(COUNTIF(H27,{"*Deep*";"*Bass*";"*Slap*"})),"**Deep House**Progressive House**House**",IF(SUM(COUNTIF(H27,{"*Lo-Fi*"})),"**Lo-Fi Hip Hop**Indie &amp; Lo Fi**Lounge**",IF(SUM(COUNTIF(H27,{"*Tech*"})),"**Tech House**Techno**Future House**",IF(SUM(COUNTIF(H27,{"*Indie/Chill Dance*"})),"**Chill Electronic**Indie Dance**Ambient**",IF(SUM(COUNTIF(H27,{"*Piano*"})),"**Progressive House**House**Dance Pop**",IF(SUM(COUNTIF(H27,{"*EDM*"})),"**Progressive House**House**EDM**",IF(H27="","","")))))))</f>
        <v/>
      </c>
      <c r="AJ27" t="str">
        <f t="shared" si="5"/>
        <v/>
      </c>
      <c r="AK27" t="str">
        <f t="array" ref="AK27">IF(SUM(COUNTIF(H27,{"*Deep*";"*Bass*";"*Slap*"})),"**Tiësto**Imanbek**",IF(SUM(COUNTIF(H27,{"*Lo-Fi*"})),"**L.Dre**Yasumu**",IF(SUM(COUNTIF(H27,{"*Tech*"})),"**Mau P**Gorgon City**",IF(SUM(COUNTIF(H27,{"*Indie/Chill Dance*"})),"**Felix Jaehn**Lost Frequencies**",IF(SUM(COUNTIF(H27,{"*Piano*"})),"**Avicii**Eric Prydz**",IF(SUM(COUNTIF(H27,{"*EDM*"})),"**David Guetta**Swedish House Mafia**",IF(H27="","","")))))))</f>
        <v/>
      </c>
      <c r="AL27" t="str">
        <f t="array" aca="1" ref="AL27" ca="1">+IFERROR(INDEX(INDIRECT((_xlfn.XLOOKUP(H27,map_country[Genre],map_country[country]))),RANK(INDIRECT((_xlfn.XLOOKUP(H27,map_country[Genre],map_country[min+5])),FALSE),INDIRECT((_xlfn.XLOOKUP(H27,map_country[Genre],map_country[rand]))),1)),"")</f>
        <v/>
      </c>
      <c r="AM27" t="str">
        <f t="array" ref="AM27">IF(SUM(COUNTIF(H27,{"*Deep*";"*Bass*";"*Slap*"})),"Cool,Upbeat,Dark",IF(SUM(COUNTIF(H27,{"*Lo-Fi*"})),"Sexy,Relaxing,Romantic",IF(SUM(COUNTIF(H27,{"*Tech*"})),"Cool,Upbeat,Dark",IF(SUM(COUNTIF(H27,{"*Indie/Chill Dance*"})),"Cool,Upbeat,Light",IF(SUM(COUNTIF(H27,{"*Piano*"})),"Cool,Upbeat,Light",IF(SUM(COUNTIF(H27,{"*EDM*"})),"Cool,Upbeat,Happy Mood",IF(H27="","","")))))))</f>
        <v/>
      </c>
      <c r="AN27" t="str">
        <f t="array" ref="AN27">IF(SUM(COUNTIF(H27,{"*Deep*";"*Bass*";"*Slap*"})),"Hard &amp; Heavy,Chilling Out &amp; Lounging,Happy &amp; Upbeat",IF(SUM(COUNTIF(H27,{"*Lo-Fi*"})),"Work, Study &amp; Reading,Chilling Out &amp; Lounging,Relaxed &amp; Laid Back",IF(SUM(COUNTIF(H27,{"*Tech*"})),"Hard &amp; Heavy,Chilling Out &amp; Lounging,Happy &amp; Upbeat",IF(SUM(COUNTIF(H27,{"*Indie/Chill Dance*"})),"Hard &amp; Heavy,Chilling Out &amp; Lounging,Happy &amp; Upbeat",IF(SUM(COUNTIF(H27,{"*Piano*"})),"Hard &amp; Heavy,Chilling Out &amp; Lounging,Happy &amp; Upbeat",IF(SUM(COUNTIF(H27,{"*EDM*"})),"Hard &amp; Heavy,Chilling Out &amp; Lounging,Happy &amp; Upbeat",IF(H27="","","")))))))</f>
        <v/>
      </c>
      <c r="AP27" s="9" t="str">
        <f t="shared" si="6"/>
        <v/>
      </c>
      <c r="AQ27" s="9" t="str">
        <f ca="1">IFERROR(_xlfn.TEXTBEFORE(AP27,","),AP27)</f>
        <v/>
      </c>
      <c r="AR27" s="9" t="str">
        <f ca="1">IFERROR(TRIM(SUBSTITUTE(SUBSTITUTE(SUBSTITUTE(SUBSTITUTE(_xlfn.TEXTAFTER(AP27,",",1),AS27,""),AT27,""),AU27,""),",","")),"")</f>
        <v/>
      </c>
      <c r="AS27" s="9" t="str">
        <f ca="1">IFERROR(SUBSTITUTE(SUBSTITUTE(SUBSTITUTE(_xlfn.TEXTAFTER(AP27,",",2),AT27,""),",",""),AU27,""),"")</f>
        <v/>
      </c>
      <c r="AT27" s="9" t="str">
        <f ca="1">IFERROR(SUBSTITUTE(SUBSTITUTE(_xlfn.TEXTAFTER(AP27,",",3),AU27,""),",",""),"")</f>
        <v/>
      </c>
      <c r="AU27" s="9" t="str">
        <f ca="1">IFERROR(_xlfn.TEXTAFTER(AP27,",",4),"")</f>
        <v/>
      </c>
      <c r="AX27" t="s">
        <v>40</v>
      </c>
      <c r="BA27" t="s">
        <v>133</v>
      </c>
      <c r="BB27" t="s">
        <v>46</v>
      </c>
      <c r="BC27">
        <f t="shared" ca="1" si="10"/>
        <v>0.90431768009485947</v>
      </c>
      <c r="BF27" t="s">
        <v>133</v>
      </c>
      <c r="BG27" t="s">
        <v>48</v>
      </c>
      <c r="BH27">
        <f t="shared" ca="1" si="11"/>
        <v>0.53997300294889428</v>
      </c>
      <c r="BJ27" t="s">
        <v>133</v>
      </c>
      <c r="BK27" t="s">
        <v>50</v>
      </c>
      <c r="BL27">
        <f t="shared" ca="1" si="12"/>
        <v>0.97623596570451299</v>
      </c>
      <c r="BN27" t="s">
        <v>133</v>
      </c>
      <c r="BO27" t="s">
        <v>52</v>
      </c>
      <c r="BP27">
        <f t="shared" ca="1" si="13"/>
        <v>5.7059934301493143E-2</v>
      </c>
      <c r="BR27" t="s">
        <v>133</v>
      </c>
      <c r="BS27" t="s">
        <v>57</v>
      </c>
      <c r="BT27">
        <f t="shared" ca="1" si="14"/>
        <v>0.62774744132916638</v>
      </c>
    </row>
    <row r="28" spans="6:72" x14ac:dyDescent="0.25">
      <c r="F28" s="3"/>
      <c r="H28" s="7"/>
      <c r="P28" t="str">
        <f t="shared" si="0"/>
        <v/>
      </c>
      <c r="Q28" t="str">
        <f t="shared" si="1"/>
        <v/>
      </c>
      <c r="R28" t="str">
        <f t="shared" si="2"/>
        <v/>
      </c>
      <c r="S28" t="str">
        <f t="array" ref="S28">IF(SUM(COUNTIF(H28,{"*Deep*";"*Bass*";"*Slap*"})),"Other:Deep House",IF(SUM(COUNTIF(H28,{"*Lo-Fi*"})),"Other:Lo-Fi",IF(SUM(COUNTIF(H28,{"*Tech*"})),"Other:Tech House",IF(SUM(COUNTIF(H28,{"*Indie/Chill Dance*"})),"Other:Indie/Chill Dance",IF(SUM(COUNTIF(H28,{"*Piano*"})),"Other:Piano House",IF(SUM(COUNTIF(H28,{"*EDM*"})),"edm dance",IF(H28="","","")))))))</f>
        <v/>
      </c>
      <c r="T28" t="str">
        <f t="array" ref="T28">IF(SUM(COUNTIF(H28,{"*Deep*";"*Bass*";"*Slap*"})),"energetic",IF(SUM(COUNTIF(H28,{"*Lo-Fi*"})),"calm",IF(SUM(COUNTIF(H28,{"*Tech*"})),"energetic",IF(SUM(COUNTIF(H28,{"*Indie/Chill Dance*"})),"chillout",IF(SUM(COUNTIF(H28,{"*Piano*"})),"energetic",IF(SUM(COUNTIF(H28,{"*EDM*"})),"energetic",IF(H28="","","")))))))</f>
        <v/>
      </c>
      <c r="U28" t="str">
        <f t="array" ref="U28">IF(SUM(COUNTIF(H28,{"*Tech*";"*EDM*";"*Indie*";"*Deep*";"*Piano*";"*Slap*";"*Brazilian Bass*"})),"Song would perfectly fit in any dance mood playlist! Label will invest up to 5000 EUR advertising on facebook and instagram ads aswell as promoting it over label and label partners playlists, radio stations and press.",IF(SUM(COUNTIF(H28,{"*Lo-Fi*"})),"Song would perfectly fit in any Lo-Fi mood playlist! Label will invest up to 5000 EUR advertising on facebook and instagram ads aswell as promoting it over label and label partners playlists, radio stations and press.",IF(H28="","","")))</f>
        <v/>
      </c>
      <c r="V28" t="str">
        <f t="shared" si="3"/>
        <v/>
      </c>
      <c r="W28" t="str">
        <f t="shared" si="7"/>
        <v/>
      </c>
      <c r="X28" t="str">
        <f t="shared" si="8"/>
        <v/>
      </c>
      <c r="Z28" t="str">
        <f t="array" aca="1" ref="Z28" ca="1">+IFERROR(INDEX(INDIRECT((_xlfn.XLOOKUP(H28,map_location[Genre],map_location[location]))),RANK(INDIRECT((_xlfn.XLOOKUP(H28,map_location[Genre],map_location[MIN+2])),FALSE),INDIRECT((_xlfn.XLOOKUP(H28,map_location[Genre],map_location[rand]))),1)),"")</f>
        <v/>
      </c>
      <c r="AA28" t="str">
        <f t="array" ref="AA28">IF(SUM(COUNTIF(H28,{"*Deep*";"*Bass*";"*Slap*"})),"**Deep House**House**Dance**",IF(SUM(COUNTIF(H28,{"*Lo-Fi*"})),"**Lo-Fi Pop**Lo-Fi Beats**Lo-Fi**",IF(SUM(COUNTIF(H28,{"*Tech*"})),"**Deep House**Tech House**Dance**",IF(SUM(COUNTIF(H28,{"*Indie/Chill Dance*"})),"**Indie Dance**Indie Electronic**Dance Pop**",IF(SUM(COUNTIF(H28,{"*Piano*"})),"**House**Electro house**Melodic House**",IF(SUM(COUNTIF(H28,{"*EDM*"})),"**EDM**Electro house**Dance Pop**",IF(H28="","","")))))))</f>
        <v/>
      </c>
      <c r="AB28" t="str">
        <f t="array" ref="AB28">IF(SUM(COUNTIF(H28,{"*Deep*";"*Bass*";"*Slap*"})),"Energetic,Happy",IF(SUM(COUNTIF(H28,{"*Lo-Fi*"})),"Romantic,Chill",IF(SUM(COUNTIF(H28,{"*Tech*"})),"Energetic,Happy",IF(SUM(COUNTIF(H28,{"*Indie/Chill Dance*"})),"Energetic,Chill",IF(SUM(COUNTIF(H28,{"*Piano*"})),"Energetic,Happy",IF(SUM(COUNTIF(H28,{"*EDM*"})),"Energetic,Happy",IF(H28="","","")))))))</f>
        <v/>
      </c>
      <c r="AC28" t="str">
        <f t="array" ref="AC28">IF(SUM(COUNTIF(H28,{"*Deep*";"*Bass*";"*Slap*"})),"None of these",IF(SUM(COUNTIF(H28,{"*Lo-Fi*"})),"Holiday,Beats",IF(SUM(COUNTIF(H28,{"*Tech*"})),"None of these",IF(SUM(COUNTIF(H28,{"*Indie/Chill Dance*"})),"None of these",IF(SUM(COUNTIF(H28,{"*Piano*"})),"None of these",IF(SUM(COUNTIF(H28,{"*EDM*"})),"None of these",IF(H28="","","")))))))</f>
        <v/>
      </c>
      <c r="AD28" t="str">
        <f t="array" ref="AD28">IF(SUM(COUNTIF(H28,{"*Deep*";"*Bass*";"*Slap*"})),"Samples,Synthesizer,Bass Guitar,Piano,Drum Kit,Electric Guitar",IF(SUM(COUNTIF(H28,{"*Lo-Fi*"})),"Samples,Synthesizer,Bass Guitar,Piano,Drum Kit,Electric Guitar",IF(SUM(COUNTIF(H28,{"*Tech*"})),"Samples,Synthesizer,Bass Guitar,Piano,Drum Kit,Electric Guitar",IF(SUM(COUNTIF(H28,{"*Indie/Chill Dance*"})),"Samples,Synthesizer,Bass Guitar,Piano,Drum Kit,Electric Guitar",IF(SUM(COUNTIF(H28,{"*Piano*"})),"Samples,Synthesizer,Bass Guitar,Piano,Drum Kit,Electric Guitar",IF(SUM(COUNTIF(H28,{"*EDM*"})),"Samples,Synthesizer,Bass Guitar,Piano,Drum Kit,Electric Guitar",IF(H28="","","")))))))</f>
        <v/>
      </c>
      <c r="AE28" t="str">
        <f t="array" ref="AE28">IF(N28="Cover","Yes",IF(SUM(COUNTIF(N28,{"*Radio/Extended*";"*Radio*";"*Remix*"})),"No",""))</f>
        <v/>
      </c>
      <c r="AF28" t="str">
        <f t="array" ref="AF28">IF(N28="Remix","Yes",IF(SUM(COUNTIF(N28,{"*Radio/Extended*";"*Radio*";"*Cover*"})),"No",""))</f>
        <v/>
      </c>
      <c r="AG28" t="str">
        <f t="shared" si="4"/>
        <v/>
      </c>
      <c r="AH28" t="str">
        <f t="array" aca="1" ref="AH28" ca="1">+TRIM(SUBSTITUTE(SUBSTITUTE(SUBSTITUTE(SUBSTITUTE(IFERROR(AQ28&amp;" "&amp;+_xlfn.XLOOKUP(((SUM(LEN(AP28))-SUM(LEN(SUBSTITUTE(AP28,",",""))))/LEN(",")+1)&amp;H28,#REF!&amp;#REF!,#REF!)&amp;CHAR(34)&amp;B28&amp;CHAR(34)&amp;"!"&amp;_xlfn.XLOOKUP(H28,#REF!,#REF!&amp;#REF!),""),"Second",AR28),"Third",AS28),"Forth",AT28),"Fifth",AU28&amp;" "))</f>
        <v/>
      </c>
      <c r="AI28" t="str">
        <f t="array" ref="AI28">IF(SUM(COUNTIF(H28,{"*Deep*";"*Bass*";"*Slap*"})),"**Deep House**Progressive House**House**",IF(SUM(COUNTIF(H28,{"*Lo-Fi*"})),"**Lo-Fi Hip Hop**Indie &amp; Lo Fi**Lounge**",IF(SUM(COUNTIF(H28,{"*Tech*"})),"**Tech House**Techno**Future House**",IF(SUM(COUNTIF(H28,{"*Indie/Chill Dance*"})),"**Chill Electronic**Indie Dance**Ambient**",IF(SUM(COUNTIF(H28,{"*Piano*"})),"**Progressive House**House**Dance Pop**",IF(SUM(COUNTIF(H28,{"*EDM*"})),"**Progressive House**House**EDM**",IF(H28="","","")))))))</f>
        <v/>
      </c>
      <c r="AJ28" t="str">
        <f t="shared" si="5"/>
        <v/>
      </c>
      <c r="AK28" t="str">
        <f t="array" ref="AK28">IF(SUM(COUNTIF(H28,{"*Deep*";"*Bass*";"*Slap*"})),"**Tiësto**Imanbek**",IF(SUM(COUNTIF(H28,{"*Lo-Fi*"})),"**L.Dre**Yasumu**",IF(SUM(COUNTIF(H28,{"*Tech*"})),"**Mau P**Gorgon City**",IF(SUM(COUNTIF(H28,{"*Indie/Chill Dance*"})),"**Felix Jaehn**Lost Frequencies**",IF(SUM(COUNTIF(H28,{"*Piano*"})),"**Avicii**Eric Prydz**",IF(SUM(COUNTIF(H28,{"*EDM*"})),"**David Guetta**Swedish House Mafia**",IF(H28="","","")))))))</f>
        <v/>
      </c>
      <c r="AL28" t="str">
        <f t="array" aca="1" ref="AL28" ca="1">+IFERROR(INDEX(INDIRECT((_xlfn.XLOOKUP(H28,map_country[Genre],map_country[country]))),RANK(INDIRECT((_xlfn.XLOOKUP(H28,map_country[Genre],map_country[min+5])),FALSE),INDIRECT((_xlfn.XLOOKUP(H28,map_country[Genre],map_country[rand]))),1)),"")</f>
        <v/>
      </c>
      <c r="AM28" t="str">
        <f t="array" ref="AM28">IF(SUM(COUNTIF(H28,{"*Deep*";"*Bass*";"*Slap*"})),"Cool,Upbeat,Dark",IF(SUM(COUNTIF(H28,{"*Lo-Fi*"})),"Sexy,Relaxing,Romantic",IF(SUM(COUNTIF(H28,{"*Tech*"})),"Cool,Upbeat,Dark",IF(SUM(COUNTIF(H28,{"*Indie/Chill Dance*"})),"Cool,Upbeat,Light",IF(SUM(COUNTIF(H28,{"*Piano*"})),"Cool,Upbeat,Light",IF(SUM(COUNTIF(H28,{"*EDM*"})),"Cool,Upbeat,Happy Mood",IF(H28="","","")))))))</f>
        <v/>
      </c>
      <c r="AN28" t="str">
        <f t="array" ref="AN28">IF(SUM(COUNTIF(H28,{"*Deep*";"*Bass*";"*Slap*"})),"Hard &amp; Heavy,Chilling Out &amp; Lounging,Happy &amp; Upbeat",IF(SUM(COUNTIF(H28,{"*Lo-Fi*"})),"Work, Study &amp; Reading,Chilling Out &amp; Lounging,Relaxed &amp; Laid Back",IF(SUM(COUNTIF(H28,{"*Tech*"})),"Hard &amp; Heavy,Chilling Out &amp; Lounging,Happy &amp; Upbeat",IF(SUM(COUNTIF(H28,{"*Indie/Chill Dance*"})),"Hard &amp; Heavy,Chilling Out &amp; Lounging,Happy &amp; Upbeat",IF(SUM(COUNTIF(H28,{"*Piano*"})),"Hard &amp; Heavy,Chilling Out &amp; Lounging,Happy &amp; Upbeat",IF(SUM(COUNTIF(H28,{"*EDM*"})),"Hard &amp; Heavy,Chilling Out &amp; Lounging,Happy &amp; Upbeat",IF(H28="","","")))))))</f>
        <v/>
      </c>
      <c r="AP28" s="9" t="str">
        <f t="shared" si="6"/>
        <v/>
      </c>
      <c r="AQ28" s="9" t="str">
        <f ca="1">IFERROR(_xlfn.TEXTBEFORE(AP28,","),AP28)</f>
        <v/>
      </c>
      <c r="AR28" s="9" t="str">
        <f ca="1">IFERROR(TRIM(SUBSTITUTE(SUBSTITUTE(SUBSTITUTE(SUBSTITUTE(_xlfn.TEXTAFTER(AP28,",",1),AS28,""),AT28,""),AU28,""),",","")),"")</f>
        <v/>
      </c>
      <c r="AS28" s="9" t="str">
        <f ca="1">IFERROR(SUBSTITUTE(SUBSTITUTE(SUBSTITUTE(_xlfn.TEXTAFTER(AP28,",",2),AT28,""),",",""),AU28,""),"")</f>
        <v/>
      </c>
      <c r="AT28" s="9" t="str">
        <f ca="1">IFERROR(SUBSTITUTE(SUBSTITUTE(_xlfn.TEXTAFTER(AP28,",",3),AU28,""),",",""),"")</f>
        <v/>
      </c>
      <c r="AU28" s="9" t="str">
        <f ca="1">IFERROR(_xlfn.TEXTAFTER(AP28,",",4),"")</f>
        <v/>
      </c>
      <c r="AX28" t="s">
        <v>40</v>
      </c>
      <c r="BA28" t="s">
        <v>134</v>
      </c>
      <c r="BB28" t="s">
        <v>46</v>
      </c>
      <c r="BC28">
        <f t="shared" ca="1" si="10"/>
        <v>6.7571231073607518E-2</v>
      </c>
      <c r="BF28" t="s">
        <v>134</v>
      </c>
      <c r="BG28" t="s">
        <v>48</v>
      </c>
      <c r="BH28">
        <f t="shared" ca="1" si="11"/>
        <v>0.98900007683891744</v>
      </c>
      <c r="BJ28" t="s">
        <v>134</v>
      </c>
      <c r="BK28" t="s">
        <v>50</v>
      </c>
      <c r="BL28">
        <f t="shared" ca="1" si="12"/>
        <v>0.43207904138095377</v>
      </c>
      <c r="BN28" t="s">
        <v>134</v>
      </c>
      <c r="BO28" t="s">
        <v>52</v>
      </c>
      <c r="BP28">
        <f t="shared" ca="1" si="13"/>
        <v>0.35867669289506743</v>
      </c>
      <c r="BR28" t="s">
        <v>134</v>
      </c>
      <c r="BS28" t="s">
        <v>57</v>
      </c>
      <c r="BT28">
        <f t="shared" ca="1" si="14"/>
        <v>0.54584324080667224</v>
      </c>
    </row>
    <row r="29" spans="6:72" x14ac:dyDescent="0.25">
      <c r="F29" s="3"/>
      <c r="H29" s="7"/>
      <c r="P29" t="str">
        <f t="shared" si="0"/>
        <v/>
      </c>
      <c r="Q29" t="str">
        <f t="shared" si="1"/>
        <v/>
      </c>
      <c r="R29" t="str">
        <f t="shared" si="2"/>
        <v/>
      </c>
      <c r="S29" t="str">
        <f t="array" ref="S29">IF(SUM(COUNTIF(H29,{"*Deep*";"*Bass*";"*Slap*"})),"Other:Deep House",IF(SUM(COUNTIF(H29,{"*Lo-Fi*"})),"Other:Lo-Fi",IF(SUM(COUNTIF(H29,{"*Tech*"})),"Other:Tech House",IF(SUM(COUNTIF(H29,{"*Indie/Chill Dance*"})),"Other:Indie/Chill Dance",IF(SUM(COUNTIF(H29,{"*Piano*"})),"Other:Piano House",IF(SUM(COUNTIF(H29,{"*EDM*"})),"edm dance",IF(H29="","","")))))))</f>
        <v/>
      </c>
      <c r="T29" t="str">
        <f t="array" ref="T29">IF(SUM(COUNTIF(H29,{"*Deep*";"*Bass*";"*Slap*"})),"energetic",IF(SUM(COUNTIF(H29,{"*Lo-Fi*"})),"calm",IF(SUM(COUNTIF(H29,{"*Tech*"})),"energetic",IF(SUM(COUNTIF(H29,{"*Indie/Chill Dance*"})),"chillout",IF(SUM(COUNTIF(H29,{"*Piano*"})),"energetic",IF(SUM(COUNTIF(H29,{"*EDM*"})),"energetic",IF(H29="","","")))))))</f>
        <v/>
      </c>
      <c r="U29" t="str">
        <f t="array" ref="U29">IF(SUM(COUNTIF(H29,{"*Tech*";"*EDM*";"*Indie*";"*Deep*";"*Piano*";"*Slap*";"*Brazilian Bass*"})),"Song would perfectly fit in any dance mood playlist! Label will invest up to 5000 EUR advertising on facebook and instagram ads aswell as promoting it over label and label partners playlists, radio stations and press.",IF(SUM(COUNTIF(H29,{"*Lo-Fi*"})),"Song would perfectly fit in any Lo-Fi mood playlist! Label will invest up to 5000 EUR advertising on facebook and instagram ads aswell as promoting it over label and label partners playlists, radio stations and press.",IF(H29="","","")))</f>
        <v/>
      </c>
      <c r="V29" t="str">
        <f t="shared" si="3"/>
        <v/>
      </c>
      <c r="W29" t="str">
        <f t="shared" si="7"/>
        <v/>
      </c>
      <c r="X29" t="str">
        <f t="shared" si="8"/>
        <v/>
      </c>
      <c r="Z29" t="str">
        <f t="array" aca="1" ref="Z29" ca="1">+IF(H29="LO-FI","",IFERROR(INDEX(INDIRECT((_xlfn.XLOOKUP(H29,map_location[Genre],map_location[location]))),RANK(INDIRECT((_xlfn.XLOOKUP(H29,map_location[Genre],map_location[min])),FALSE),INDIRECT((_xlfn.XLOOKUP(H29,map_location[Genre],map_location[rand]))),1)),""))</f>
        <v/>
      </c>
      <c r="AA29" t="str">
        <f t="array" ref="AA29">IF(SUM(COUNTIF(H29,{"*Deep*";"*Bass*";"*Slap*"})),"**Deep House**House**Dance**",IF(SUM(COUNTIF(H29,{"*Lo-Fi*"})),"**Lo-Fi Pop**Lo-Fi Beats**Lo-Fi**",IF(SUM(COUNTIF(H29,{"*Tech*"})),"**Deep House**Tech House**Dance**",IF(SUM(COUNTIF(H29,{"*Indie/Chill Dance*"})),"**Indie Dance**Indie Electronic**Dance Pop**",IF(SUM(COUNTIF(H29,{"*Piano*"})),"**House**Electro house**Melodic House**",IF(SUM(COUNTIF(H29,{"*EDM*"})),"**EDM**Electro house**Dance Pop**",IF(H29="","","")))))))</f>
        <v/>
      </c>
      <c r="AB29" t="str">
        <f t="array" ref="AB29">IF(SUM(COUNTIF(H29,{"*Deep*";"*Bass*";"*Slap*"})),"Energetic,Happy",IF(SUM(COUNTIF(H29,{"*Lo-Fi*"})),"Romantic,Chill",IF(SUM(COUNTIF(H29,{"*Tech*"})),"Energetic,Happy",IF(SUM(COUNTIF(H29,{"*Indie/Chill Dance*"})),"Energetic,Chill",IF(SUM(COUNTIF(H29,{"*Piano*"})),"Energetic,Happy",IF(SUM(COUNTIF(H29,{"*EDM*"})),"Energetic,Happy",IF(H29="","","")))))))</f>
        <v/>
      </c>
      <c r="AC29" t="str">
        <f t="array" ref="AC29">IF(SUM(COUNTIF(H29,{"*Deep*";"*Bass*";"*Slap*"})),"None of these",IF(SUM(COUNTIF(H29,{"*Lo-Fi*"})),"Holiday,Beats",IF(SUM(COUNTIF(H29,{"*Tech*"})),"None of these",IF(SUM(COUNTIF(H29,{"*Indie/Chill Dance*"})),"None of these",IF(SUM(COUNTIF(H29,{"*Piano*"})),"None of these",IF(SUM(COUNTIF(H29,{"*EDM*"})),"None of these",IF(H29="","","")))))))</f>
        <v/>
      </c>
      <c r="AD29" t="str">
        <f t="array" ref="AD29">IF(SUM(COUNTIF(H29,{"*Deep*";"*Bass*";"*Slap*"})),"Samples,Synthesizer,Bass Guitar,Piano,Drum Kit,Electric Guitar",IF(SUM(COUNTIF(H29,{"*Lo-Fi*"})),"Samples,Synthesizer,Bass Guitar,Piano,Drum Kit,Electric Guitar",IF(SUM(COUNTIF(H29,{"*Tech*"})),"Samples,Synthesizer,Bass Guitar,Piano,Drum Kit,Electric Guitar",IF(SUM(COUNTIF(H29,{"*Indie/Chill Dance*"})),"Samples,Synthesizer,Bass Guitar,Piano,Drum Kit,Electric Guitar",IF(SUM(COUNTIF(H29,{"*Piano*"})),"Samples,Synthesizer,Bass Guitar,Piano,Drum Kit,Electric Guitar",IF(SUM(COUNTIF(H29,{"*EDM*"})),"Samples,Synthesizer,Bass Guitar,Piano,Drum Kit,Electric Guitar",IF(H29="","","")))))))</f>
        <v/>
      </c>
      <c r="AE29" t="str">
        <f t="array" ref="AE29">IF(N29="Cover","Yes",IF(SUM(COUNTIF(N29,{"*Radio/Extended*";"*Radio*";"*Remix*"})),"No",""))</f>
        <v/>
      </c>
      <c r="AF29" t="str">
        <f t="array" ref="AF29">IF(N29="Remix","Yes",IF(SUM(COUNTIF(N29,{"*Radio/Extended*";"*Radio*";"*Cover*"})),"No",""))</f>
        <v/>
      </c>
      <c r="AG29" t="str">
        <f t="shared" si="4"/>
        <v/>
      </c>
      <c r="AH29" t="str">
        <f t="array" aca="1" ref="AH29" ca="1">+TRIM(SUBSTITUTE(SUBSTITUTE(SUBSTITUTE(SUBSTITUTE(IFERROR(AQ29&amp;" "&amp;+_xlfn.XLOOKUP(((SUM(LEN(AP29))-SUM(LEN(SUBSTITUTE(AP29,",",""))))/LEN(",")+1)&amp;H29,#REF!&amp;#REF!,#REF!)&amp;CHAR(34)&amp;B29&amp;CHAR(34)&amp;"!"&amp;_xlfn.XLOOKUP(H29,#REF!,#REF!&amp;#REF!),""),"Second",AR29),"Third",AS29),"Forth",AT29),"Fifth",AU29&amp;" "))</f>
        <v/>
      </c>
      <c r="AI29" t="str">
        <f t="array" ref="AI29">IF(SUM(COUNTIF(H29,{"*Deep*";"*Bass*";"*Slap*"})),"**Deep House**Progressive House**House**",IF(SUM(COUNTIF(H29,{"*Lo-Fi*"})),"**Lo-Fi Hip Hop**Indie &amp; Lo Fi**Lounge**",IF(SUM(COUNTIF(H29,{"*Tech*"})),"**Tech House**Techno**Future House**",IF(SUM(COUNTIF(H29,{"*Indie/Chill Dance*"})),"**Chill Electronic**Indie Dance**Ambient**",IF(SUM(COUNTIF(H29,{"*Piano*"})),"**Progressive House**House**Dance Pop**",IF(SUM(COUNTIF(H29,{"*EDM*"})),"**Progressive House**House**EDM**",IF(H29="","","")))))))</f>
        <v/>
      </c>
      <c r="AJ29" t="str">
        <f t="shared" si="5"/>
        <v/>
      </c>
      <c r="AK29" t="str">
        <f t="array" ref="AK29">IF(SUM(COUNTIF(H29,{"*Deep*";"*Bass*";"*Slap*"})),"**Tiësto**Imanbek**",IF(SUM(COUNTIF(H29,{"*Lo-Fi*"})),"**L.Dre**Yasumu**",IF(SUM(COUNTIF(H29,{"*Tech*"})),"**Mau P**Gorgon City**",IF(SUM(COUNTIF(H29,{"*Indie/Chill Dance*"})),"**Felix Jaehn**Lost Frequencies**",IF(SUM(COUNTIF(H29,{"*Piano*"})),"**Avicii**Eric Prydz**",IF(SUM(COUNTIF(H29,{"*EDM*"})),"**David Guetta**Swedish House Mafia**",IF(H29="","","")))))))</f>
        <v/>
      </c>
      <c r="AL29" t="str">
        <f t="array" aca="1" ref="AL29" ca="1">+IFERROR(INDEX(INDIRECT((_xlfn.XLOOKUP(H29,map_country[Genre],map_country[country]))),RANK(INDIRECT((_xlfn.XLOOKUP(H29,map_country[Genre],map_country[min+6])),FALSE),INDIRECT((_xlfn.XLOOKUP(H29,map_country[Genre],map_country[rand]))),1)),"")</f>
        <v/>
      </c>
      <c r="AM29" t="str">
        <f t="array" ref="AM29">IF(SUM(COUNTIF(H29,{"*Deep*";"*Bass*";"*Slap*"})),"Cool,Upbeat,Dark",IF(SUM(COUNTIF(H29,{"*Lo-Fi*"})),"Sexy,Relaxing,Romantic",IF(SUM(COUNTIF(H29,{"*Tech*"})),"Cool,Upbeat,Dark",IF(SUM(COUNTIF(H29,{"*Indie/Chill Dance*"})),"Cool,Upbeat,Light",IF(SUM(COUNTIF(H29,{"*Piano*"})),"Cool,Upbeat,Light",IF(SUM(COUNTIF(H29,{"*EDM*"})),"Cool,Upbeat,Happy Mood",IF(H29="","","")))))))</f>
        <v/>
      </c>
      <c r="AN29" t="str">
        <f t="array" ref="AN29">IF(SUM(COUNTIF(H29,{"*Deep*";"*Bass*";"*Slap*"})),"Hard &amp; Heavy,Chilling Out &amp; Lounging,Happy &amp; Upbeat",IF(SUM(COUNTIF(H29,{"*Lo-Fi*"})),"Work, Study &amp; Reading,Chilling Out &amp; Lounging,Relaxed &amp; Laid Back",IF(SUM(COUNTIF(H29,{"*Tech*"})),"Hard &amp; Heavy,Chilling Out &amp; Lounging,Happy &amp; Upbeat",IF(SUM(COUNTIF(H29,{"*Indie/Chill Dance*"})),"Hard &amp; Heavy,Chilling Out &amp; Lounging,Happy &amp; Upbeat",IF(SUM(COUNTIF(H29,{"*Piano*"})),"Hard &amp; Heavy,Chilling Out &amp; Lounging,Happy &amp; Upbeat",IF(SUM(COUNTIF(H29,{"*EDM*"})),"Hard &amp; Heavy,Chilling Out &amp; Lounging,Happy &amp; Upbeat",IF(H29="","","")))))))</f>
        <v/>
      </c>
      <c r="AP29" s="9" t="str">
        <f t="shared" si="6"/>
        <v/>
      </c>
      <c r="AQ29" s="9" t="str">
        <f ca="1">IFERROR(_xlfn.TEXTBEFORE(AP29,","),AP29)</f>
        <v/>
      </c>
      <c r="AR29" s="9" t="str">
        <f ca="1">IFERROR(TRIM(SUBSTITUTE(SUBSTITUTE(SUBSTITUTE(SUBSTITUTE(_xlfn.TEXTAFTER(AP29,",",1),AS29,""),AT29,""),AU29,""),",","")),"")</f>
        <v/>
      </c>
      <c r="AS29" s="9" t="str">
        <f ca="1">IFERROR(SUBSTITUTE(SUBSTITUTE(SUBSTITUTE(_xlfn.TEXTAFTER(AP29,",",2),AT29,""),",",""),AU29,""),"")</f>
        <v/>
      </c>
      <c r="AT29" s="9" t="str">
        <f ca="1">IFERROR(SUBSTITUTE(SUBSTITUTE(_xlfn.TEXTAFTER(AP29,",",3),AU29,""),",",""),"")</f>
        <v/>
      </c>
      <c r="AU29" s="9" t="str">
        <f ca="1">IFERROR(_xlfn.TEXTAFTER(AP29,",",4),"")</f>
        <v/>
      </c>
      <c r="AX29" t="s">
        <v>40</v>
      </c>
      <c r="BA29" t="s">
        <v>135</v>
      </c>
      <c r="BB29" t="s">
        <v>46</v>
      </c>
      <c r="BC29">
        <f t="shared" ca="1" si="10"/>
        <v>0.56114698102954919</v>
      </c>
      <c r="BF29" t="s">
        <v>135</v>
      </c>
      <c r="BG29" t="s">
        <v>48</v>
      </c>
      <c r="BH29">
        <f t="shared" ca="1" si="11"/>
        <v>0.50790154330752479</v>
      </c>
      <c r="BJ29" t="s">
        <v>135</v>
      </c>
      <c r="BK29" t="s">
        <v>50</v>
      </c>
      <c r="BL29">
        <f t="shared" ca="1" si="12"/>
        <v>0.66523313468849699</v>
      </c>
      <c r="BN29" t="s">
        <v>135</v>
      </c>
      <c r="BO29" t="s">
        <v>52</v>
      </c>
      <c r="BP29">
        <f t="shared" ca="1" si="13"/>
        <v>0.60321655032586274</v>
      </c>
      <c r="BR29" t="s">
        <v>135</v>
      </c>
      <c r="BS29" t="s">
        <v>57</v>
      </c>
      <c r="BT29">
        <f t="shared" ca="1" si="14"/>
        <v>0.40418861868728739</v>
      </c>
    </row>
    <row r="30" spans="6:72" x14ac:dyDescent="0.25">
      <c r="F30" s="3"/>
      <c r="H30" s="7"/>
      <c r="P30" t="str">
        <f t="shared" si="0"/>
        <v/>
      </c>
      <c r="Q30" t="str">
        <f t="shared" si="1"/>
        <v/>
      </c>
      <c r="R30" t="str">
        <f t="shared" si="2"/>
        <v/>
      </c>
      <c r="S30" t="str">
        <f t="array" ref="S30">IF(SUM(COUNTIF(H30,{"*Deep*";"*Bass*";"*Slap*"})),"Other:Deep House",IF(SUM(COUNTIF(H30,{"*Lo-Fi*"})),"Other:Lo-Fi",IF(SUM(COUNTIF(H30,{"*Tech*"})),"Other:Tech House",IF(SUM(COUNTIF(H30,{"*Indie/Chill Dance*"})),"Other:Indie/Chill Dance",IF(SUM(COUNTIF(H30,{"*Piano*"})),"Other:Piano House",IF(SUM(COUNTIF(H30,{"*EDM*"})),"edm dance",IF(H30="","","")))))))</f>
        <v/>
      </c>
      <c r="T30" t="str">
        <f t="array" ref="T30">IF(SUM(COUNTIF(H30,{"*Deep*";"*Bass*";"*Slap*"})),"energetic",IF(SUM(COUNTIF(H30,{"*Lo-Fi*"})),"calm",IF(SUM(COUNTIF(H30,{"*Tech*"})),"energetic",IF(SUM(COUNTIF(H30,{"*Indie/Chill Dance*"})),"chillout",IF(SUM(COUNTIF(H30,{"*Piano*"})),"energetic",IF(SUM(COUNTIF(H30,{"*EDM*"})),"energetic",IF(H30="","","")))))))</f>
        <v/>
      </c>
      <c r="U30" t="str">
        <f t="array" ref="U30">IF(SUM(COUNTIF(H30,{"*Tech*";"*EDM*";"*Indie*";"*Deep*";"*Piano*";"*Slap*";"*Brazilian Bass*"})),"Song would perfectly fit in any dance mood playlist! Label will invest up to 5000 EUR advertising on facebook and instagram ads aswell as promoting it over label and label partners playlists, radio stations and press.",IF(SUM(COUNTIF(H30,{"*Lo-Fi*"})),"Song would perfectly fit in any Lo-Fi mood playlist! Label will invest up to 5000 EUR advertising on facebook and instagram ads aswell as promoting it over label and label partners playlists, radio stations and press.",IF(H30="","","")))</f>
        <v/>
      </c>
      <c r="V30" t="str">
        <f t="shared" si="3"/>
        <v/>
      </c>
      <c r="W30" t="str">
        <f t="shared" si="7"/>
        <v/>
      </c>
      <c r="X30" t="str">
        <f t="shared" si="8"/>
        <v/>
      </c>
      <c r="Z30" t="str">
        <f t="array" aca="1" ref="Z30" ca="1">+IF(H30="LO-FI","",IFERROR(INDEX(INDIRECT((_xlfn.XLOOKUP(H30,map_location[Genre],map_location[location]))),RANK(INDIRECT((_xlfn.XLOOKUP(H30,map_location[Genre],map_location[min])),FALSE),INDIRECT((_xlfn.XLOOKUP(H30,map_location[Genre],map_location[rand]))),1)),""))</f>
        <v/>
      </c>
      <c r="AA30" t="str">
        <f t="array" ref="AA30">IF(SUM(COUNTIF(H30,{"*Deep*";"*Bass*";"*Slap*"})),"**Deep House**House**Dance**",IF(SUM(COUNTIF(H30,{"*Lo-Fi*"})),"**Lo-Fi Pop**Lo-Fi Beats**Lo-Fi**",IF(SUM(COUNTIF(H30,{"*Tech*"})),"**Deep House**Tech House**Dance**",IF(SUM(COUNTIF(H30,{"*Indie/Chill Dance*"})),"**Indie Dance**Indie Electronic**Dance Pop**",IF(SUM(COUNTIF(H30,{"*Piano*"})),"**House**Electro house**Melodic House**",IF(SUM(COUNTIF(H30,{"*EDM*"})),"**EDM**Electro house**Dance Pop**",IF(H30="","","")))))))</f>
        <v/>
      </c>
      <c r="AB30" t="str">
        <f t="array" ref="AB30">IF(SUM(COUNTIF(H30,{"*Deep*";"*Bass*";"*Slap*"})),"Energetic,Happy",IF(SUM(COUNTIF(H30,{"*Lo-Fi*"})),"Romantic,Chill",IF(SUM(COUNTIF(H30,{"*Tech*"})),"Energetic,Happy",IF(SUM(COUNTIF(H30,{"*Indie/Chill Dance*"})),"Energetic,Chill",IF(SUM(COUNTIF(H30,{"*Piano*"})),"Energetic,Happy",IF(SUM(COUNTIF(H30,{"*EDM*"})),"Energetic,Happy",IF(H30="","","")))))))</f>
        <v/>
      </c>
      <c r="AC30" t="str">
        <f t="array" ref="AC30">IF(SUM(COUNTIF(H30,{"*Deep*";"*Bass*";"*Slap*"})),"None of these",IF(SUM(COUNTIF(H30,{"*Lo-Fi*"})),"Holiday,Beats",IF(SUM(COUNTIF(H30,{"*Tech*"})),"None of these",IF(SUM(COUNTIF(H30,{"*Indie/Chill Dance*"})),"None of these",IF(SUM(COUNTIF(H30,{"*Piano*"})),"None of these",IF(SUM(COUNTIF(H30,{"*EDM*"})),"None of these",IF(H30="","","")))))))</f>
        <v/>
      </c>
      <c r="AD30" t="str">
        <f t="array" ref="AD30">IF(SUM(COUNTIF(H30,{"*Deep*";"*Bass*";"*Slap*"})),"Samples,Synthesizer,Bass Guitar,Piano,Drum Kit,Electric Guitar",IF(SUM(COUNTIF(H30,{"*Lo-Fi*"})),"Samples,Synthesizer,Bass Guitar,Piano,Drum Kit,Electric Guitar",IF(SUM(COUNTIF(H30,{"*Tech*"})),"Samples,Synthesizer,Bass Guitar,Piano,Drum Kit,Electric Guitar",IF(SUM(COUNTIF(H30,{"*Indie/Chill Dance*"})),"Samples,Synthesizer,Bass Guitar,Piano,Drum Kit,Electric Guitar",IF(SUM(COUNTIF(H30,{"*Piano*"})),"Samples,Synthesizer,Bass Guitar,Piano,Drum Kit,Electric Guitar",IF(SUM(COUNTIF(H30,{"*EDM*"})),"Samples,Synthesizer,Bass Guitar,Piano,Drum Kit,Electric Guitar",IF(H30="","","")))))))</f>
        <v/>
      </c>
      <c r="AE30" t="str">
        <f t="array" ref="AE30">IF(N30="Cover","Yes",IF(SUM(COUNTIF(N30,{"*Radio/Extended*";"*Radio*";"*Remix*"})),"No",""))</f>
        <v/>
      </c>
      <c r="AF30" t="str">
        <f t="array" ref="AF30">IF(N30="Remix","Yes",IF(SUM(COUNTIF(N30,{"*Radio/Extended*";"*Radio*";"*Cover*"})),"No",""))</f>
        <v/>
      </c>
      <c r="AG30" t="str">
        <f t="shared" si="4"/>
        <v/>
      </c>
      <c r="AH30" t="str">
        <f t="array" aca="1" ref="AH30" ca="1">+TRIM(SUBSTITUTE(SUBSTITUTE(SUBSTITUTE(SUBSTITUTE(IFERROR(AQ30&amp;" "&amp;+_xlfn.XLOOKUP(((SUM(LEN(AP30))-SUM(LEN(SUBSTITUTE(AP30,",",""))))/LEN(",")+1)&amp;H30,#REF!&amp;#REF!,#REF!)&amp;CHAR(34)&amp;B30&amp;CHAR(34)&amp;"!"&amp;_xlfn.XLOOKUP(H30,#REF!,#REF!&amp;#REF!),""),"Second",AR30),"Third",AS30),"Forth",AT30),"Fifth",AU30&amp;" "))</f>
        <v/>
      </c>
      <c r="AI30" t="str">
        <f t="array" ref="AI30">IF(SUM(COUNTIF(H30,{"*Deep*";"*Bass*";"*Slap*"})),"**Deep House**Progressive House**House**",IF(SUM(COUNTIF(H30,{"*Lo-Fi*"})),"**Lo-Fi Hip Hop**Indie &amp; Lo Fi**Lounge**",IF(SUM(COUNTIF(H30,{"*Tech*"})),"**Tech House**Techno**Future House**",IF(SUM(COUNTIF(H30,{"*Indie/Chill Dance*"})),"**Chill Electronic**Indie Dance**Ambient**",IF(SUM(COUNTIF(H30,{"*Piano*"})),"**Progressive House**House**Dance Pop**",IF(SUM(COUNTIF(H30,{"*EDM*"})),"**Progressive House**House**EDM**",IF(H30="","","")))))))</f>
        <v/>
      </c>
      <c r="AJ30" t="str">
        <f t="shared" si="5"/>
        <v/>
      </c>
      <c r="AK30" t="str">
        <f t="array" ref="AK30">IF(SUM(COUNTIF(H30,{"*Deep*";"*Bass*";"*Slap*"})),"**Tiësto**Imanbek**",IF(SUM(COUNTIF(H30,{"*Lo-Fi*"})),"**L.Dre**Yasumu**",IF(SUM(COUNTIF(H30,{"*Tech*"})),"**Mau P**Gorgon City**",IF(SUM(COUNTIF(H30,{"*Indie/Chill Dance*"})),"**Felix Jaehn**Lost Frequencies**",IF(SUM(COUNTIF(H30,{"*Piano*"})),"**Avicii**Eric Prydz**",IF(SUM(COUNTIF(H30,{"*EDM*"})),"**David Guetta**Swedish House Mafia**",IF(H30="","","")))))))</f>
        <v/>
      </c>
      <c r="AL30" t="str">
        <f t="array" aca="1" ref="AL30" ca="1">+IFERROR(INDEX(INDIRECT((_xlfn.XLOOKUP(H30,map_country[Genre],map_country[country]))),RANK(INDIRECT((_xlfn.XLOOKUP(H30,map_country[Genre],map_country[min+6])),FALSE),INDIRECT((_xlfn.XLOOKUP(H30,map_country[Genre],map_country[rand]))),1)),"")</f>
        <v/>
      </c>
      <c r="AM30" t="str">
        <f t="array" ref="AM30">IF(SUM(COUNTIF(H30,{"*Deep*";"*Bass*";"*Slap*"})),"Cool,Upbeat,Dark",IF(SUM(COUNTIF(H30,{"*Lo-Fi*"})),"Sexy,Relaxing,Romantic",IF(SUM(COUNTIF(H30,{"*Tech*"})),"Cool,Upbeat,Dark",IF(SUM(COUNTIF(H30,{"*Indie/Chill Dance*"})),"Cool,Upbeat,Light",IF(SUM(COUNTIF(H30,{"*Piano*"})),"Cool,Upbeat,Light",IF(SUM(COUNTIF(H30,{"*EDM*"})),"Cool,Upbeat,Happy Mood",IF(H30="","","")))))))</f>
        <v/>
      </c>
      <c r="AN30" t="str">
        <f t="array" ref="AN30">IF(SUM(COUNTIF(H30,{"*Deep*";"*Bass*";"*Slap*"})),"Hard &amp; Heavy,Chilling Out &amp; Lounging,Happy &amp; Upbeat",IF(SUM(COUNTIF(H30,{"*Lo-Fi*"})),"Work, Study &amp; Reading,Chilling Out &amp; Lounging,Relaxed &amp; Laid Back",IF(SUM(COUNTIF(H30,{"*Tech*"})),"Hard &amp; Heavy,Chilling Out &amp; Lounging,Happy &amp; Upbeat",IF(SUM(COUNTIF(H30,{"*Indie/Chill Dance*"})),"Hard &amp; Heavy,Chilling Out &amp; Lounging,Happy &amp; Upbeat",IF(SUM(COUNTIF(H30,{"*Piano*"})),"Hard &amp; Heavy,Chilling Out &amp; Lounging,Happy &amp; Upbeat",IF(SUM(COUNTIF(H30,{"*EDM*"})),"Hard &amp; Heavy,Chilling Out &amp; Lounging,Happy &amp; Upbeat",IF(H30="","","")))))))</f>
        <v/>
      </c>
      <c r="AP30" s="9" t="str">
        <f t="shared" si="6"/>
        <v/>
      </c>
      <c r="AQ30" s="9" t="str">
        <f ca="1">IFERROR(_xlfn.TEXTBEFORE(AP30,","),AP30)</f>
        <v/>
      </c>
      <c r="AR30" s="9" t="str">
        <f ca="1">IFERROR(TRIM(SUBSTITUTE(SUBSTITUTE(SUBSTITUTE(SUBSTITUTE(_xlfn.TEXTAFTER(AP30,",",1),AS30,""),AT30,""),AU30,""),",","")),"")</f>
        <v/>
      </c>
      <c r="AS30" s="9" t="str">
        <f ca="1">IFERROR(SUBSTITUTE(SUBSTITUTE(SUBSTITUTE(_xlfn.TEXTAFTER(AP30,",",2),AT30,""),",",""),AU30,""),"")</f>
        <v/>
      </c>
      <c r="AT30" s="9" t="str">
        <f ca="1">IFERROR(SUBSTITUTE(SUBSTITUTE(_xlfn.TEXTAFTER(AP30,",",3),AU30,""),",",""),"")</f>
        <v/>
      </c>
      <c r="AU30" s="9" t="str">
        <f ca="1">IFERROR(_xlfn.TEXTAFTER(AP30,",",4),"")</f>
        <v/>
      </c>
      <c r="AX30" t="s">
        <v>40</v>
      </c>
      <c r="BA30" t="s">
        <v>136</v>
      </c>
      <c r="BB30" t="s">
        <v>46</v>
      </c>
      <c r="BC30">
        <f t="shared" ca="1" si="10"/>
        <v>0.62592659923212213</v>
      </c>
      <c r="BF30" t="s">
        <v>136</v>
      </c>
      <c r="BG30" t="s">
        <v>48</v>
      </c>
      <c r="BH30">
        <f t="shared" ca="1" si="11"/>
        <v>0.16688255078221814</v>
      </c>
      <c r="BJ30" t="s">
        <v>136</v>
      </c>
      <c r="BK30" t="s">
        <v>50</v>
      </c>
      <c r="BL30">
        <f t="shared" ca="1" si="12"/>
        <v>0.8799984582577165</v>
      </c>
      <c r="BN30" t="s">
        <v>136</v>
      </c>
      <c r="BO30" t="s">
        <v>52</v>
      </c>
      <c r="BP30">
        <f t="shared" ca="1" si="13"/>
        <v>0.946325413368591</v>
      </c>
      <c r="BR30" t="s">
        <v>136</v>
      </c>
      <c r="BS30" t="s">
        <v>57</v>
      </c>
      <c r="BT30">
        <f t="shared" ca="1" si="14"/>
        <v>1.3411185998372988E-2</v>
      </c>
    </row>
    <row r="31" spans="6:72" x14ac:dyDescent="0.25">
      <c r="F31" s="3"/>
      <c r="H31" s="7"/>
      <c r="P31" t="str">
        <f t="shared" si="0"/>
        <v/>
      </c>
      <c r="Q31" t="str">
        <f t="shared" si="1"/>
        <v/>
      </c>
      <c r="R31" t="str">
        <f t="shared" si="2"/>
        <v/>
      </c>
      <c r="S31" t="str">
        <f t="array" ref="S31">IF(SUM(COUNTIF(H31,{"*Deep*";"*Bass*";"*Slap*"})),"Other:Deep House",IF(SUM(COUNTIF(H31,{"*Lo-Fi*"})),"Other:Lo-Fi",IF(SUM(COUNTIF(H31,{"*Tech*"})),"Other:Tech House",IF(SUM(COUNTIF(H31,{"*Indie/Chill Dance*"})),"Other:Indie/Chill Dance",IF(SUM(COUNTIF(H31,{"*Piano*"})),"Other:Piano House",IF(SUM(COUNTIF(H31,{"*EDM*"})),"edm dance",IF(H31="","","")))))))</f>
        <v/>
      </c>
      <c r="T31" t="str">
        <f t="array" ref="T31">IF(SUM(COUNTIF(H31,{"*Deep*";"*Bass*";"*Slap*"})),"energetic",IF(SUM(COUNTIF(H31,{"*Lo-Fi*"})),"calm",IF(SUM(COUNTIF(H31,{"*Tech*"})),"energetic",IF(SUM(COUNTIF(H31,{"*Indie/Chill Dance*"})),"chillout",IF(SUM(COUNTIF(H31,{"*Piano*"})),"energetic",IF(SUM(COUNTIF(H31,{"*EDM*"})),"energetic",IF(H31="","","")))))))</f>
        <v/>
      </c>
      <c r="U31" t="str">
        <f t="array" ref="U31">IF(SUM(COUNTIF(H31,{"*Tech*";"*EDM*";"*Indie*";"*Deep*";"*Piano*";"*Slap*";"*Brazilian Bass*"})),"Song would perfectly fit in any dance mood playlist! Label will invest up to 5000 EUR advertising on facebook and instagram ads aswell as promoting it over label and label partners playlists, radio stations and press.",IF(SUM(COUNTIF(H31,{"*Lo-Fi*"})),"Song would perfectly fit in any Lo-Fi mood playlist! Label will invest up to 5000 EUR advertising on facebook and instagram ads aswell as promoting it over label and label partners playlists, radio stations and press.",IF(H31="","","")))</f>
        <v/>
      </c>
      <c r="V31" t="str">
        <f t="shared" si="3"/>
        <v/>
      </c>
      <c r="W31" t="str">
        <f t="shared" si="7"/>
        <v/>
      </c>
      <c r="X31" t="str">
        <f t="shared" si="8"/>
        <v/>
      </c>
      <c r="Z31" t="str">
        <f t="array" aca="1" ref="Z31" ca="1">+IF(H31="LO-FI","",IFERROR(INDEX(INDIRECT((_xlfn.XLOOKUP(H31,map_location[Genre],map_location[location]))),RANK(INDIRECT((_xlfn.XLOOKUP(H31,map_location[Genre],map_location[min])),FALSE),INDIRECT((_xlfn.XLOOKUP(H31,map_location[Genre],map_location[rand]))),1)),""))</f>
        <v/>
      </c>
      <c r="AA31" t="str">
        <f t="array" ref="AA31">IF(SUM(COUNTIF(H31,{"*Deep*";"*Bass*";"*Slap*"})),"**Deep House**House**Dance**",IF(SUM(COUNTIF(H31,{"*Lo-Fi*"})),"**Lo-Fi Pop**Lo-Fi Beats**Lo-Fi**",IF(SUM(COUNTIF(H31,{"*Tech*"})),"**Deep House**Tech House**Dance**",IF(SUM(COUNTIF(H31,{"*Indie/Chill Dance*"})),"**Indie Dance**Indie Electronic**Dance Pop**",IF(SUM(COUNTIF(H31,{"*Piano*"})),"**House**Electro house**Melodic House**",IF(SUM(COUNTIF(H31,{"*EDM*"})),"**EDM**Electro house**Dance Pop**",IF(H31="","","")))))))</f>
        <v/>
      </c>
      <c r="AB31" t="str">
        <f t="array" ref="AB31">IF(SUM(COUNTIF(H31,{"*Deep*";"*Bass*";"*Slap*"})),"Energetic,Happy",IF(SUM(COUNTIF(H31,{"*Lo-Fi*"})),"Romantic,Chill",IF(SUM(COUNTIF(H31,{"*Tech*"})),"Energetic,Happy",IF(SUM(COUNTIF(H31,{"*Indie/Chill Dance*"})),"Energetic,Chill",IF(SUM(COUNTIF(H31,{"*Piano*"})),"Energetic,Happy",IF(SUM(COUNTIF(H31,{"*EDM*"})),"Energetic,Happy",IF(H31="","","")))))))</f>
        <v/>
      </c>
      <c r="AC31" t="str">
        <f t="array" ref="AC31">IF(SUM(COUNTIF(H31,{"*Deep*";"*Bass*";"*Slap*"})),"None of these",IF(SUM(COUNTIF(H31,{"*Lo-Fi*"})),"Holiday,Beats",IF(SUM(COUNTIF(H31,{"*Tech*"})),"None of these",IF(SUM(COUNTIF(H31,{"*Indie/Chill Dance*"})),"None of these",IF(SUM(COUNTIF(H31,{"*Piano*"})),"None of these",IF(SUM(COUNTIF(H31,{"*EDM*"})),"None of these",IF(H31="","","")))))))</f>
        <v/>
      </c>
      <c r="AD31" t="str">
        <f t="array" ref="AD31">IF(SUM(COUNTIF(H31,{"*Deep*";"*Bass*";"*Slap*"})),"Samples,Synthesizer,Bass Guitar,Piano,Drum Kit,Electric Guitar",IF(SUM(COUNTIF(H31,{"*Lo-Fi*"})),"Samples,Synthesizer,Bass Guitar,Piano,Drum Kit,Electric Guitar",IF(SUM(COUNTIF(H31,{"*Tech*"})),"Samples,Synthesizer,Bass Guitar,Piano,Drum Kit,Electric Guitar",IF(SUM(COUNTIF(H31,{"*Indie/Chill Dance*"})),"Samples,Synthesizer,Bass Guitar,Piano,Drum Kit,Electric Guitar",IF(SUM(COUNTIF(H31,{"*Piano*"})),"Samples,Synthesizer,Bass Guitar,Piano,Drum Kit,Electric Guitar",IF(SUM(COUNTIF(H31,{"*EDM*"})),"Samples,Synthesizer,Bass Guitar,Piano,Drum Kit,Electric Guitar",IF(H31="","","")))))))</f>
        <v/>
      </c>
      <c r="AE31" t="str">
        <f t="array" ref="AE31">IF(N31="Cover","Yes",IF(SUM(COUNTIF(N31,{"*Radio/Extended*";"*Radio*";"*Remix*"})),"No",""))</f>
        <v/>
      </c>
      <c r="AF31" t="str">
        <f t="array" ref="AF31">IF(N31="Remix","Yes",IF(SUM(COUNTIF(N31,{"*Radio/Extended*";"*Radio*";"*Cover*"})),"No",""))</f>
        <v/>
      </c>
      <c r="AG31" t="str">
        <f t="shared" si="4"/>
        <v/>
      </c>
      <c r="AH31" t="str">
        <f t="array" aca="1" ref="AH31" ca="1">+TRIM(SUBSTITUTE(SUBSTITUTE(SUBSTITUTE(SUBSTITUTE(IFERROR(AQ31&amp;" "&amp;+_xlfn.XLOOKUP(((SUM(LEN(AP31))-SUM(LEN(SUBSTITUTE(AP31,",",""))))/LEN(",")+1)&amp;H31,#REF!&amp;#REF!,#REF!)&amp;CHAR(34)&amp;B31&amp;CHAR(34)&amp;"!"&amp;_xlfn.XLOOKUP(H31,#REF!,#REF!&amp;#REF!),""),"Second",AR31),"Third",AS31),"Forth",AT31),"Fifth",AU31&amp;" "))</f>
        <v/>
      </c>
      <c r="AI31" t="str">
        <f t="array" ref="AI31">IF(SUM(COUNTIF(H31,{"*Deep*";"*Bass*";"*Slap*"})),"**Deep House**Progressive House**House**",IF(SUM(COUNTIF(H31,{"*Lo-Fi*"})),"**Lo-Fi Hip Hop**Indie &amp; Lo Fi**Lounge**",IF(SUM(COUNTIF(H31,{"*Tech*"})),"**Tech House**Techno**Future House**",IF(SUM(COUNTIF(H31,{"*Indie/Chill Dance*"})),"**Chill Electronic**Indie Dance**Ambient**",IF(SUM(COUNTIF(H31,{"*Piano*"})),"**Progressive House**House**Dance Pop**",IF(SUM(COUNTIF(H31,{"*EDM*"})),"**Progressive House**House**EDM**",IF(H31="","","")))))))</f>
        <v/>
      </c>
      <c r="AJ31" t="str">
        <f t="shared" si="5"/>
        <v/>
      </c>
      <c r="AK31" t="str">
        <f t="array" ref="AK31">IF(SUM(COUNTIF(H31,{"*Deep*";"*Bass*";"*Slap*"})),"**Tiësto**Imanbek**",IF(SUM(COUNTIF(H31,{"*Lo-Fi*"})),"**L.Dre**Yasumu**",IF(SUM(COUNTIF(H31,{"*Tech*"})),"**Mau P**Gorgon City**",IF(SUM(COUNTIF(H31,{"*Indie/Chill Dance*"})),"**Felix Jaehn**Lost Frequencies**",IF(SUM(COUNTIF(H31,{"*Piano*"})),"**Avicii**Eric Prydz**",IF(SUM(COUNTIF(H31,{"*EDM*"})),"**David Guetta**Swedish House Mafia**",IF(H31="","","")))))))</f>
        <v/>
      </c>
      <c r="AL31" t="str">
        <f t="array" aca="1" ref="AL31" ca="1">+IFERROR(INDEX(INDIRECT((_xlfn.XLOOKUP(H31,map_country[Genre],map_country[country]))),RANK(INDIRECT((_xlfn.XLOOKUP(H31,map_country[Genre],map_country[min+6])),FALSE),INDIRECT((_xlfn.XLOOKUP(H31,map_country[Genre],map_country[rand]))),1)),"")</f>
        <v/>
      </c>
      <c r="AM31" t="str">
        <f t="array" ref="AM31">IF(SUM(COUNTIF(H31,{"*Deep*";"*Bass*";"*Slap*"})),"Cool,Upbeat,Dark",IF(SUM(COUNTIF(H31,{"*Lo-Fi*"})),"Sexy,Relaxing,Romantic",IF(SUM(COUNTIF(H31,{"*Tech*"})),"Cool,Upbeat,Dark",IF(SUM(COUNTIF(H31,{"*Indie/Chill Dance*"})),"Cool,Upbeat,Light",IF(SUM(COUNTIF(H31,{"*Piano*"})),"Cool,Upbeat,Light",IF(SUM(COUNTIF(H31,{"*EDM*"})),"Cool,Upbeat,Happy Mood",IF(H31="","","")))))))</f>
        <v/>
      </c>
      <c r="AN31" t="str">
        <f t="array" ref="AN31">IF(SUM(COUNTIF(H31,{"*Deep*";"*Bass*";"*Slap*"})),"Hard &amp; Heavy,Chilling Out &amp; Lounging,Happy &amp; Upbeat",IF(SUM(COUNTIF(H31,{"*Lo-Fi*"})),"Work, Study &amp; Reading,Chilling Out &amp; Lounging,Relaxed &amp; Laid Back",IF(SUM(COUNTIF(H31,{"*Tech*"})),"Hard &amp; Heavy,Chilling Out &amp; Lounging,Happy &amp; Upbeat",IF(SUM(COUNTIF(H31,{"*Indie/Chill Dance*"})),"Hard &amp; Heavy,Chilling Out &amp; Lounging,Happy &amp; Upbeat",IF(SUM(COUNTIF(H31,{"*Piano*"})),"Hard &amp; Heavy,Chilling Out &amp; Lounging,Happy &amp; Upbeat",IF(SUM(COUNTIF(H31,{"*EDM*"})),"Hard &amp; Heavy,Chilling Out &amp; Lounging,Happy &amp; Upbeat",IF(H31="","","")))))))</f>
        <v/>
      </c>
      <c r="AP31" s="9" t="str">
        <f t="shared" si="6"/>
        <v/>
      </c>
      <c r="AQ31" s="9" t="str">
        <f ca="1">IFERROR(_xlfn.TEXTBEFORE(AP31,","),AP31)</f>
        <v/>
      </c>
      <c r="AR31" s="9" t="str">
        <f ca="1">IFERROR(TRIM(SUBSTITUTE(SUBSTITUTE(SUBSTITUTE(SUBSTITUTE(_xlfn.TEXTAFTER(AP31,",",1),AS31,""),AT31,""),AU31,""),",","")),"")</f>
        <v/>
      </c>
      <c r="AS31" s="9" t="str">
        <f ca="1">IFERROR(SUBSTITUTE(SUBSTITUTE(SUBSTITUTE(_xlfn.TEXTAFTER(AP31,",",2),AT31,""),",",""),AU31,""),"")</f>
        <v/>
      </c>
      <c r="AT31" s="9" t="str">
        <f ca="1">IFERROR(SUBSTITUTE(SUBSTITUTE(_xlfn.TEXTAFTER(AP31,",",3),AU31,""),",",""),"")</f>
        <v/>
      </c>
      <c r="AU31" s="9" t="str">
        <f ca="1">IFERROR(_xlfn.TEXTAFTER(AP31,",",4),"")</f>
        <v/>
      </c>
      <c r="AX31" t="s">
        <v>40</v>
      </c>
      <c r="BA31" t="s">
        <v>137</v>
      </c>
      <c r="BB31" t="s">
        <v>46</v>
      </c>
      <c r="BC31">
        <f t="shared" ca="1" si="10"/>
        <v>0.43444235741871617</v>
      </c>
      <c r="BF31" t="s">
        <v>137</v>
      </c>
      <c r="BG31" t="s">
        <v>48</v>
      </c>
      <c r="BH31">
        <f t="shared" ca="1" si="11"/>
        <v>0.77583561197696205</v>
      </c>
      <c r="BJ31" t="s">
        <v>137</v>
      </c>
      <c r="BK31" t="s">
        <v>50</v>
      </c>
      <c r="BL31">
        <f t="shared" ca="1" si="12"/>
        <v>0.1335606661639489</v>
      </c>
      <c r="BN31" t="s">
        <v>137</v>
      </c>
      <c r="BO31" t="s">
        <v>52</v>
      </c>
      <c r="BP31">
        <f t="shared" ca="1" si="13"/>
        <v>0.33031468929150665</v>
      </c>
      <c r="BR31" t="s">
        <v>137</v>
      </c>
      <c r="BS31" t="s">
        <v>57</v>
      </c>
      <c r="BT31">
        <f t="shared" ca="1" si="14"/>
        <v>9.5117131520205844E-2</v>
      </c>
    </row>
    <row r="32" spans="6:72" x14ac:dyDescent="0.25">
      <c r="F32" s="3"/>
      <c r="H32" s="7"/>
      <c r="P32" t="str">
        <f t="shared" si="0"/>
        <v/>
      </c>
      <c r="Q32" t="str">
        <f t="shared" si="1"/>
        <v/>
      </c>
      <c r="R32" t="str">
        <f t="shared" si="2"/>
        <v/>
      </c>
      <c r="S32" t="str">
        <f t="array" ref="S32">IF(SUM(COUNTIF(H32,{"*Deep*";"*Bass*";"*Slap*"})),"Other:Deep House",IF(SUM(COUNTIF(H32,{"*Lo-Fi*"})),"Other:Lo-Fi",IF(SUM(COUNTIF(H32,{"*Tech*"})),"Other:Tech House",IF(SUM(COUNTIF(H32,{"*Indie/Chill Dance*"})),"Other:Indie/Chill Dance",IF(SUM(COUNTIF(H32,{"*Piano*"})),"Other:Piano House",IF(SUM(COUNTIF(H32,{"*EDM*"})),"edm dance",IF(H32="","","")))))))</f>
        <v/>
      </c>
      <c r="T32" t="str">
        <f t="array" ref="T32">IF(SUM(COUNTIF(H32,{"*Deep*";"*Bass*";"*Slap*"})),"energetic",IF(SUM(COUNTIF(H32,{"*Lo-Fi*"})),"calm",IF(SUM(COUNTIF(H32,{"*Tech*"})),"energetic",IF(SUM(COUNTIF(H32,{"*Indie/Chill Dance*"})),"chillout",IF(SUM(COUNTIF(H32,{"*Piano*"})),"energetic",IF(SUM(COUNTIF(H32,{"*EDM*"})),"energetic",IF(H32="","","")))))))</f>
        <v/>
      </c>
      <c r="U32" t="str">
        <f t="array" ref="U32">IF(SUM(COUNTIF(H32,{"*Tech*";"*EDM*";"*Indie*";"*Deep*";"*Piano*";"*Slap*";"*Brazilian Bass*"})),"Song would perfectly fit in any dance mood playlist! Label will invest up to 5000 EUR advertising on facebook and instagram ads aswell as promoting it over label and label partners playlists, radio stations and press.",IF(SUM(COUNTIF(H32,{"*Lo-Fi*"})),"Song would perfectly fit in any Lo-Fi mood playlist! Label will invest up to 5000 EUR advertising on facebook and instagram ads aswell as promoting it over label and label partners playlists, radio stations and press.",IF(H32="","","")))</f>
        <v/>
      </c>
      <c r="V32" t="str">
        <f t="shared" si="3"/>
        <v/>
      </c>
      <c r="W32" t="str">
        <f t="shared" si="7"/>
        <v/>
      </c>
      <c r="X32" t="str">
        <f t="shared" si="8"/>
        <v/>
      </c>
      <c r="Z32" t="str">
        <f t="array" aca="1" ref="Z32" ca="1">+IFERROR(INDEX(INDIRECT((_xlfn.XLOOKUP(H32,map_location[Genre],map_location[location]))),RANK(INDIRECT((_xlfn.XLOOKUP(H32,map_location[Genre],map_location[MIN+1])),FALSE),INDIRECT((_xlfn.XLOOKUP(H32,map_location[Genre],map_location[rand]))),1)),"")</f>
        <v/>
      </c>
      <c r="AA32" t="str">
        <f t="array" ref="AA32">IF(SUM(COUNTIF(H32,{"*Deep*";"*Bass*";"*Slap*"})),"**Deep House**House**Dance**",IF(SUM(COUNTIF(H32,{"*Lo-Fi*"})),"**Lo-Fi Pop**Lo-Fi Beats**Lo-Fi**",IF(SUM(COUNTIF(H32,{"*Tech*"})),"**Deep House**Tech House**Dance**",IF(SUM(COUNTIF(H32,{"*Indie/Chill Dance*"})),"**Indie Dance**Indie Electronic**Dance Pop**",IF(SUM(COUNTIF(H32,{"*Piano*"})),"**House**Electro house**Melodic House**",IF(SUM(COUNTIF(H32,{"*EDM*"})),"**EDM**Electro house**Dance Pop**",IF(H32="","","")))))))</f>
        <v/>
      </c>
      <c r="AB32" t="str">
        <f t="array" ref="AB32">IF(SUM(COUNTIF(H32,{"*Deep*";"*Bass*";"*Slap*"})),"Energetic,Happy",IF(SUM(COUNTIF(H32,{"*Lo-Fi*"})),"Romantic,Chill",IF(SUM(COUNTIF(H32,{"*Tech*"})),"Energetic,Happy",IF(SUM(COUNTIF(H32,{"*Indie/Chill Dance*"})),"Energetic,Chill",IF(SUM(COUNTIF(H32,{"*Piano*"})),"Energetic,Happy",IF(SUM(COUNTIF(H32,{"*EDM*"})),"Energetic,Happy",IF(H32="","","")))))))</f>
        <v/>
      </c>
      <c r="AC32" t="str">
        <f t="array" ref="AC32">IF(SUM(COUNTIF(H32,{"*Deep*";"*Bass*";"*Slap*"})),"None of these",IF(SUM(COUNTIF(H32,{"*Lo-Fi*"})),"Holiday,Beats",IF(SUM(COUNTIF(H32,{"*Tech*"})),"None of these",IF(SUM(COUNTIF(H32,{"*Indie/Chill Dance*"})),"None of these",IF(SUM(COUNTIF(H32,{"*Piano*"})),"None of these",IF(SUM(COUNTIF(H32,{"*EDM*"})),"None of these",IF(H32="","","")))))))</f>
        <v/>
      </c>
      <c r="AD32" t="str">
        <f t="array" ref="AD32">IF(SUM(COUNTIF(H32,{"*Deep*";"*Bass*";"*Slap*"})),"Samples,Synthesizer,Bass Guitar,Piano,Drum Kit,Electric Guitar",IF(SUM(COUNTIF(H32,{"*Lo-Fi*"})),"Samples,Synthesizer,Bass Guitar,Piano,Drum Kit,Electric Guitar",IF(SUM(COUNTIF(H32,{"*Tech*"})),"Samples,Synthesizer,Bass Guitar,Piano,Drum Kit,Electric Guitar",IF(SUM(COUNTIF(H32,{"*Indie/Chill Dance*"})),"Samples,Synthesizer,Bass Guitar,Piano,Drum Kit,Electric Guitar",IF(SUM(COUNTIF(H32,{"*Piano*"})),"Samples,Synthesizer,Bass Guitar,Piano,Drum Kit,Electric Guitar",IF(SUM(COUNTIF(H32,{"*EDM*"})),"Samples,Synthesizer,Bass Guitar,Piano,Drum Kit,Electric Guitar",IF(H32="","","")))))))</f>
        <v/>
      </c>
      <c r="AE32" t="str">
        <f t="array" ref="AE32">IF(N32="Cover","Yes",IF(SUM(COUNTIF(N32,{"*Radio/Extended*";"*Radio*";"*Remix*"})),"No",""))</f>
        <v/>
      </c>
      <c r="AF32" t="str">
        <f t="array" ref="AF32">IF(N32="Remix","Yes",IF(SUM(COUNTIF(N32,{"*Radio/Extended*";"*Radio*";"*Cover*"})),"No",""))</f>
        <v/>
      </c>
      <c r="AG32" t="str">
        <f t="shared" si="4"/>
        <v/>
      </c>
      <c r="AH32" t="str">
        <f t="array" aca="1" ref="AH32" ca="1">+TRIM(SUBSTITUTE(SUBSTITUTE(SUBSTITUTE(SUBSTITUTE(IFERROR(AQ32&amp;" "&amp;+_xlfn.XLOOKUP(((SUM(LEN(AP32))-SUM(LEN(SUBSTITUTE(AP32,",",""))))/LEN(",")+1)&amp;H32,#REF!&amp;#REF!,#REF!)&amp;CHAR(34)&amp;B32&amp;CHAR(34)&amp;"!"&amp;_xlfn.XLOOKUP(H32,#REF!,#REF!&amp;#REF!),""),"Second",AR32),"Third",AS32),"Forth",AT32),"Fifth",AU32&amp;" "))</f>
        <v/>
      </c>
      <c r="AI32" t="str">
        <f t="array" ref="AI32">IF(SUM(COUNTIF(H32,{"*Deep*";"*Bass*";"*Slap*"})),"**Deep House**Progressive House**House**",IF(SUM(COUNTIF(H32,{"*Lo-Fi*"})),"**Lo-Fi Hip Hop**Indie &amp; Lo Fi**Lounge**",IF(SUM(COUNTIF(H32,{"*Tech*"})),"**Tech House**Techno**Future House**",IF(SUM(COUNTIF(H32,{"*Indie/Chill Dance*"})),"**Chill Electronic**Indie Dance**Ambient**",IF(SUM(COUNTIF(H32,{"*Piano*"})),"**Progressive House**House**Dance Pop**",IF(SUM(COUNTIF(H32,{"*EDM*"})),"**Progressive House**House**EDM**",IF(H32="","","")))))))</f>
        <v/>
      </c>
      <c r="AJ32" t="str">
        <f t="shared" si="5"/>
        <v/>
      </c>
      <c r="AK32" t="str">
        <f t="array" ref="AK32">IF(SUM(COUNTIF(H32,{"*Deep*";"*Bass*";"*Slap*"})),"**Tiësto**Imanbek**",IF(SUM(COUNTIF(H32,{"*Lo-Fi*"})),"**L.Dre**Yasumu**",IF(SUM(COUNTIF(H32,{"*Tech*"})),"**Mau P**Gorgon City**",IF(SUM(COUNTIF(H32,{"*Indie/Chill Dance*"})),"**Felix Jaehn**Lost Frequencies**",IF(SUM(COUNTIF(H32,{"*Piano*"})),"**Avicii**Eric Prydz**",IF(SUM(COUNTIF(H32,{"*EDM*"})),"**David Guetta**Swedish House Mafia**",IF(H32="","","")))))))</f>
        <v/>
      </c>
      <c r="AL32" t="str">
        <f t="array" aca="1" ref="AL32" ca="1">+IFERROR(INDEX(INDIRECT((_xlfn.XLOOKUP(H32,map_country[Genre],map_country[country]))),RANK(INDIRECT((_xlfn.XLOOKUP(H32,map_country[Genre],map_country[min+7])),FALSE),INDIRECT((_xlfn.XLOOKUP(H32,map_country[Genre],map_country[rand]))),1)),"")</f>
        <v/>
      </c>
      <c r="AM32" t="str">
        <f t="array" ref="AM32">IF(SUM(COUNTIF(H32,{"*Deep*";"*Bass*";"*Slap*"})),"Cool,Upbeat,Dark",IF(SUM(COUNTIF(H32,{"*Lo-Fi*"})),"Sexy,Relaxing,Romantic",IF(SUM(COUNTIF(H32,{"*Tech*"})),"Cool,Upbeat,Dark",IF(SUM(COUNTIF(H32,{"*Indie/Chill Dance*"})),"Cool,Upbeat,Light",IF(SUM(COUNTIF(H32,{"*Piano*"})),"Cool,Upbeat,Light",IF(SUM(COUNTIF(H32,{"*EDM*"})),"Cool,Upbeat,Happy Mood",IF(H32="","","")))))))</f>
        <v/>
      </c>
      <c r="AN32" t="str">
        <f t="array" ref="AN32">IF(SUM(COUNTIF(H32,{"*Deep*";"*Bass*";"*Slap*"})),"Hard &amp; Heavy,Chilling Out &amp; Lounging,Happy &amp; Upbeat",IF(SUM(COUNTIF(H32,{"*Lo-Fi*"})),"Work, Study &amp; Reading,Chilling Out &amp; Lounging,Relaxed &amp; Laid Back",IF(SUM(COUNTIF(H32,{"*Tech*"})),"Hard &amp; Heavy,Chilling Out &amp; Lounging,Happy &amp; Upbeat",IF(SUM(COUNTIF(H32,{"*Indie/Chill Dance*"})),"Hard &amp; Heavy,Chilling Out &amp; Lounging,Happy &amp; Upbeat",IF(SUM(COUNTIF(H32,{"*Piano*"})),"Hard &amp; Heavy,Chilling Out &amp; Lounging,Happy &amp; Upbeat",IF(SUM(COUNTIF(H32,{"*EDM*"})),"Hard &amp; Heavy,Chilling Out &amp; Lounging,Happy &amp; Upbeat",IF(H32="","","")))))))</f>
        <v/>
      </c>
      <c r="AP32" s="9" t="str">
        <f t="shared" si="6"/>
        <v/>
      </c>
      <c r="AQ32" s="9" t="str">
        <f ca="1">IFERROR(_xlfn.TEXTBEFORE(AP32,","),AP32)</f>
        <v/>
      </c>
      <c r="AR32" s="9" t="str">
        <f ca="1">IFERROR(TRIM(SUBSTITUTE(SUBSTITUTE(SUBSTITUTE(SUBSTITUTE(_xlfn.TEXTAFTER(AP32,",",1),AS32,""),AT32,""),AU32,""),",","")),"")</f>
        <v/>
      </c>
      <c r="AS32" s="9" t="str">
        <f ca="1">IFERROR(SUBSTITUTE(SUBSTITUTE(SUBSTITUTE(_xlfn.TEXTAFTER(AP32,",",2),AT32,""),",",""),AU32,""),"")</f>
        <v/>
      </c>
      <c r="AT32" s="9" t="str">
        <f ca="1">IFERROR(SUBSTITUTE(SUBSTITUTE(_xlfn.TEXTAFTER(AP32,",",3),AU32,""),",",""),"")</f>
        <v/>
      </c>
      <c r="AU32" s="9" t="str">
        <f ca="1">IFERROR(_xlfn.TEXTAFTER(AP32,",",4),"")</f>
        <v/>
      </c>
      <c r="AX32" t="s">
        <v>40</v>
      </c>
    </row>
    <row r="33" spans="6:65" x14ac:dyDescent="0.25">
      <c r="F33" s="3"/>
      <c r="H33" s="7"/>
      <c r="P33" t="str">
        <f t="shared" si="0"/>
        <v/>
      </c>
      <c r="Q33" t="str">
        <f t="shared" si="1"/>
        <v/>
      </c>
      <c r="R33" t="str">
        <f t="shared" si="2"/>
        <v/>
      </c>
      <c r="S33" t="str">
        <f t="array" ref="S33">IF(SUM(COUNTIF(H33,{"*Deep*";"*Bass*";"*Slap*"})),"Other:Deep House",IF(SUM(COUNTIF(H33,{"*Lo-Fi*"})),"Other:Lo-Fi",IF(SUM(COUNTIF(H33,{"*Tech*"})),"Other:Tech House",IF(SUM(COUNTIF(H33,{"*Indie/Chill Dance*"})),"Other:Indie/Chill Dance",IF(SUM(COUNTIF(H33,{"*Piano*"})),"Other:Piano House",IF(SUM(COUNTIF(H33,{"*EDM*"})),"edm dance",IF(H33="","","")))))))</f>
        <v/>
      </c>
      <c r="T33" t="str">
        <f t="array" ref="T33">IF(SUM(COUNTIF(H33,{"*Deep*";"*Bass*";"*Slap*"})),"energetic",IF(SUM(COUNTIF(H33,{"*Lo-Fi*"})),"calm",IF(SUM(COUNTIF(H33,{"*Tech*"})),"energetic",IF(SUM(COUNTIF(H33,{"*Indie/Chill Dance*"})),"chillout",IF(SUM(COUNTIF(H33,{"*Piano*"})),"energetic",IF(SUM(COUNTIF(H33,{"*EDM*"})),"energetic",IF(H33="","","")))))))</f>
        <v/>
      </c>
      <c r="U33" t="str">
        <f t="array" ref="U33">IF(SUM(COUNTIF(H33,{"*Tech*";"*EDM*";"*Indie*";"*Deep*";"*Piano*";"*Slap*";"*Brazilian Bass*"})),"Song would perfectly fit in any dance mood playlist! Label will invest up to 5000 EUR advertising on facebook and instagram ads aswell as promoting it over label and label partners playlists, radio stations and press.",IF(SUM(COUNTIF(H33,{"*Lo-Fi*"})),"Song would perfectly fit in any Lo-Fi mood playlist! Label will invest up to 5000 EUR advertising on facebook and instagram ads aswell as promoting it over label and label partners playlists, radio stations and press.",IF(H33="","","")))</f>
        <v/>
      </c>
      <c r="V33" t="str">
        <f t="shared" si="3"/>
        <v/>
      </c>
      <c r="W33" t="str">
        <f t="shared" si="7"/>
        <v/>
      </c>
      <c r="X33" t="str">
        <f t="shared" si="8"/>
        <v/>
      </c>
      <c r="Z33" t="str">
        <f t="array" aca="1" ref="Z33" ca="1">+IFERROR(INDEX(INDIRECT((_xlfn.XLOOKUP(H33,map_location[Genre],map_location[location]))),RANK(INDIRECT((_xlfn.XLOOKUP(H33,map_location[Genre],map_location[MIN+1])),FALSE),INDIRECT((_xlfn.XLOOKUP(H33,map_location[Genre],map_location[rand]))),1)),"")</f>
        <v/>
      </c>
      <c r="AA33" t="str">
        <f t="array" ref="AA33">IF(SUM(COUNTIF(H33,{"*Deep*";"*Bass*";"*Slap*"})),"**Deep House**House**Dance**",IF(SUM(COUNTIF(H33,{"*Lo-Fi*"})),"**Lo-Fi Pop**Lo-Fi Beats**Lo-Fi**",IF(SUM(COUNTIF(H33,{"*Tech*"})),"**Deep House**Tech House**Dance**",IF(SUM(COUNTIF(H33,{"*Indie/Chill Dance*"})),"**Indie Dance**Indie Electronic**Dance Pop**",IF(SUM(COUNTIF(H33,{"*Piano*"})),"**House**Electro house**Melodic House**",IF(SUM(COUNTIF(H33,{"*EDM*"})),"**EDM**Electro house**Dance Pop**",IF(H33="","","")))))))</f>
        <v/>
      </c>
      <c r="AB33" t="str">
        <f t="array" ref="AB33">IF(SUM(COUNTIF(H33,{"*Deep*";"*Bass*";"*Slap*"})),"Energetic,Happy",IF(SUM(COUNTIF(H33,{"*Lo-Fi*"})),"Romantic,Chill",IF(SUM(COUNTIF(H33,{"*Tech*"})),"Energetic,Happy",IF(SUM(COUNTIF(H33,{"*Indie/Chill Dance*"})),"Energetic,Chill",IF(SUM(COUNTIF(H33,{"*Piano*"})),"Energetic,Happy",IF(SUM(COUNTIF(H33,{"*EDM*"})),"Energetic,Happy",IF(H33="","","")))))))</f>
        <v/>
      </c>
      <c r="AC33" t="str">
        <f t="array" ref="AC33">IF(SUM(COUNTIF(H33,{"*Deep*";"*Bass*";"*Slap*"})),"None of these",IF(SUM(COUNTIF(H33,{"*Lo-Fi*"})),"Holiday,Beats",IF(SUM(COUNTIF(H33,{"*Tech*"})),"None of these",IF(SUM(COUNTIF(H33,{"*Indie/Chill Dance*"})),"None of these",IF(SUM(COUNTIF(H33,{"*Piano*"})),"None of these",IF(SUM(COUNTIF(H33,{"*EDM*"})),"None of these",IF(H33="","","")))))))</f>
        <v/>
      </c>
      <c r="AD33" t="str">
        <f t="array" ref="AD33">IF(SUM(COUNTIF(H33,{"*Deep*";"*Bass*";"*Slap*"})),"Samples,Synthesizer,Bass Guitar,Piano,Drum Kit,Electric Guitar",IF(SUM(COUNTIF(H33,{"*Lo-Fi*"})),"Samples,Synthesizer,Bass Guitar,Piano,Drum Kit,Electric Guitar",IF(SUM(COUNTIF(H33,{"*Tech*"})),"Samples,Synthesizer,Bass Guitar,Piano,Drum Kit,Electric Guitar",IF(SUM(COUNTIF(H33,{"*Indie/Chill Dance*"})),"Samples,Synthesizer,Bass Guitar,Piano,Drum Kit,Electric Guitar",IF(SUM(COUNTIF(H33,{"*Piano*"})),"Samples,Synthesizer,Bass Guitar,Piano,Drum Kit,Electric Guitar",IF(SUM(COUNTIF(H33,{"*EDM*"})),"Samples,Synthesizer,Bass Guitar,Piano,Drum Kit,Electric Guitar",IF(H33="","","")))))))</f>
        <v/>
      </c>
      <c r="AE33" t="str">
        <f t="array" ref="AE33">IF(N33="Cover","Yes",IF(SUM(COUNTIF(N33,{"*Radio/Extended*";"*Radio*";"*Remix*"})),"No",""))</f>
        <v/>
      </c>
      <c r="AF33" t="str">
        <f t="array" ref="AF33">IF(N33="Remix","Yes",IF(SUM(COUNTIF(N33,{"*Radio/Extended*";"*Radio*";"*Cover*"})),"No",""))</f>
        <v/>
      </c>
      <c r="AG33" t="str">
        <f t="shared" si="4"/>
        <v/>
      </c>
      <c r="AH33" t="str">
        <f t="array" aca="1" ref="AH33" ca="1">+TRIM(SUBSTITUTE(SUBSTITUTE(SUBSTITUTE(SUBSTITUTE(IFERROR(AQ33&amp;" "&amp;+_xlfn.XLOOKUP(((SUM(LEN(AP33))-SUM(LEN(SUBSTITUTE(AP33,",",""))))/LEN(",")+1)&amp;H33,#REF!&amp;#REF!,#REF!)&amp;CHAR(34)&amp;B33&amp;CHAR(34)&amp;"!"&amp;_xlfn.XLOOKUP(H33,#REF!,#REF!&amp;#REF!),""),"Second",AR33),"Third",AS33),"Forth",AT33),"Fifth",AU33&amp;" "))</f>
        <v/>
      </c>
      <c r="AI33" t="str">
        <f t="array" ref="AI33">IF(SUM(COUNTIF(H33,{"*Deep*";"*Bass*";"*Slap*"})),"**Deep House**Progressive House**House**",IF(SUM(COUNTIF(H33,{"*Lo-Fi*"})),"**Lo-Fi Hip Hop**Indie &amp; Lo Fi**Lounge**",IF(SUM(COUNTIF(H33,{"*Tech*"})),"**Tech House**Techno**Future House**",IF(SUM(COUNTIF(H33,{"*Indie/Chill Dance*"})),"**Chill Electronic**Indie Dance**Ambient**",IF(SUM(COUNTIF(H33,{"*Piano*"})),"**Progressive House**House**Dance Pop**",IF(SUM(COUNTIF(H33,{"*EDM*"})),"**Progressive House**House**EDM**",IF(H33="","","")))))))</f>
        <v/>
      </c>
      <c r="AJ33" t="str">
        <f t="shared" si="5"/>
        <v/>
      </c>
      <c r="AK33" t="str">
        <f t="array" ref="AK33">IF(SUM(COUNTIF(H33,{"*Deep*";"*Bass*";"*Slap*"})),"**Tiësto**Imanbek**",IF(SUM(COUNTIF(H33,{"*Lo-Fi*"})),"**L.Dre**Yasumu**",IF(SUM(COUNTIF(H33,{"*Tech*"})),"**Mau P**Gorgon City**",IF(SUM(COUNTIF(H33,{"*Indie/Chill Dance*"})),"**Felix Jaehn**Lost Frequencies**",IF(SUM(COUNTIF(H33,{"*Piano*"})),"**Avicii**Eric Prydz**",IF(SUM(COUNTIF(H33,{"*EDM*"})),"**David Guetta**Swedish House Mafia**",IF(H33="","","")))))))</f>
        <v/>
      </c>
      <c r="AL33" t="str">
        <f t="array" aca="1" ref="AL33" ca="1">+IFERROR(INDEX(INDIRECT((_xlfn.XLOOKUP(H33,map_country[Genre],map_country[country]))),RANK(INDIRECT((_xlfn.XLOOKUP(H33,map_country[Genre],map_country[min+7])),FALSE),INDIRECT((_xlfn.XLOOKUP(H33,map_country[Genre],map_country[rand]))),1)),"")</f>
        <v/>
      </c>
      <c r="AM33" t="str">
        <f t="array" ref="AM33">IF(SUM(COUNTIF(H33,{"*Deep*";"*Bass*";"*Slap*"})),"Cool,Upbeat,Dark",IF(SUM(COUNTIF(H33,{"*Lo-Fi*"})),"Sexy,Relaxing,Romantic",IF(SUM(COUNTIF(H33,{"*Tech*"})),"Cool,Upbeat,Dark",IF(SUM(COUNTIF(H33,{"*Indie/Chill Dance*"})),"Cool,Upbeat,Light",IF(SUM(COUNTIF(H33,{"*Piano*"})),"Cool,Upbeat,Light",IF(SUM(COUNTIF(H33,{"*EDM*"})),"Cool,Upbeat,Happy Mood",IF(H33="","","")))))))</f>
        <v/>
      </c>
      <c r="AN33" t="str">
        <f t="array" ref="AN33">IF(SUM(COUNTIF(H33,{"*Deep*";"*Bass*";"*Slap*"})),"Hard &amp; Heavy,Chilling Out &amp; Lounging,Happy &amp; Upbeat",IF(SUM(COUNTIF(H33,{"*Lo-Fi*"})),"Work, Study &amp; Reading,Chilling Out &amp; Lounging,Relaxed &amp; Laid Back",IF(SUM(COUNTIF(H33,{"*Tech*"})),"Hard &amp; Heavy,Chilling Out &amp; Lounging,Happy &amp; Upbeat",IF(SUM(COUNTIF(H33,{"*Indie/Chill Dance*"})),"Hard &amp; Heavy,Chilling Out &amp; Lounging,Happy &amp; Upbeat",IF(SUM(COUNTIF(H33,{"*Piano*"})),"Hard &amp; Heavy,Chilling Out &amp; Lounging,Happy &amp; Upbeat",IF(SUM(COUNTIF(H33,{"*EDM*"})),"Hard &amp; Heavy,Chilling Out &amp; Lounging,Happy &amp; Upbeat",IF(H33="","","")))))))</f>
        <v/>
      </c>
      <c r="AP33" s="9" t="str">
        <f t="shared" si="6"/>
        <v/>
      </c>
      <c r="AQ33" s="9" t="str">
        <f ca="1">IFERROR(_xlfn.TEXTBEFORE(AP33,","),AP33)</f>
        <v/>
      </c>
      <c r="AR33" s="9" t="str">
        <f ca="1">IFERROR(TRIM(SUBSTITUTE(SUBSTITUTE(SUBSTITUTE(SUBSTITUTE(_xlfn.TEXTAFTER(AP33,",",1),AS33,""),AT33,""),AU33,""),",","")),"")</f>
        <v/>
      </c>
      <c r="AS33" s="9" t="str">
        <f ca="1">IFERROR(SUBSTITUTE(SUBSTITUTE(SUBSTITUTE(_xlfn.TEXTAFTER(AP33,",",2),AT33,""),",",""),AU33,""),"")</f>
        <v/>
      </c>
      <c r="AT33" s="9" t="str">
        <f ca="1">IFERROR(SUBSTITUTE(SUBSTITUTE(_xlfn.TEXTAFTER(AP33,",",3),AU33,""),",",""),"")</f>
        <v/>
      </c>
      <c r="AU33" s="9" t="str">
        <f ca="1">IFERROR(_xlfn.TEXTAFTER(AP33,",",4),"")</f>
        <v/>
      </c>
      <c r="AX33" t="s">
        <v>40</v>
      </c>
    </row>
    <row r="34" spans="6:65" x14ac:dyDescent="0.25">
      <c r="F34" s="3"/>
      <c r="H34" s="7"/>
      <c r="P34" t="str">
        <f t="shared" ref="P34:P70" si="15">IF(N34="Remix","Citas:Remix",IF(N34="Cover","Citas:Cover",IF(N34="Radio","Single",IF(N34="Radio/Extended","Single",""))))</f>
        <v/>
      </c>
      <c r="Q34" t="str">
        <f t="shared" ref="Q34:Q65" si="16">IF(M34=1,"High_Priority",IF(M34=2,"Priority",IF(M34=3,"General_Release",IF(M34=4,"General_Release",IF(M34="","")))))</f>
        <v/>
      </c>
      <c r="R34" t="str">
        <f t="shared" ref="R34:R65" si="17">IF(N34="Remix","Citas:Remix",IF(N34="Cover","Citas:Cover",IF(N34="Radio","Single",IF(N34="Radio/Extended","Single",""))))</f>
        <v/>
      </c>
      <c r="S34" t="str">
        <f t="array" ref="S34">IF(SUM(COUNTIF(H34,{"*Deep*";"*Bass*";"*Slap*"})),"Other:Deep House",IF(SUM(COUNTIF(H34,{"*Lo-Fi*"})),"Other:Lo-Fi",IF(SUM(COUNTIF(H34,{"*Tech*"})),"Other:Tech House",IF(SUM(COUNTIF(H34,{"*Indie/Chill Dance*"})),"Other:Indie/Chill Dance",IF(SUM(COUNTIF(H34,{"*Piano*"})),"Other:Piano House",IF(SUM(COUNTIF(H34,{"*EDM*"})),"edm dance",IF(H34="","","")))))))</f>
        <v/>
      </c>
      <c r="T34" t="str">
        <f t="array" ref="T34">IF(SUM(COUNTIF(H34,{"*Deep*";"*Bass*";"*Slap*"})),"energetic",IF(SUM(COUNTIF(H34,{"*Lo-Fi*"})),"calm",IF(SUM(COUNTIF(H34,{"*Tech*"})),"energetic",IF(SUM(COUNTIF(H34,{"*Indie/Chill Dance*"})),"chillout",IF(SUM(COUNTIF(H34,{"*Piano*"})),"energetic",IF(SUM(COUNTIF(H34,{"*EDM*"})),"energetic",IF(H34="","","")))))))</f>
        <v/>
      </c>
      <c r="U34" t="str">
        <f t="array" ref="U34">IF(SUM(COUNTIF(H34,{"*Tech*";"*EDM*";"*Indie*";"*Deep*";"*Piano*";"*Slap*";"*Brazilian Bass*"})),"Song would perfectly fit in any dance mood playlist! Label will invest up to 5000 EUR advertising on facebook and instagram ads aswell as promoting it over label and label partners playlists, radio stations and press.",IF(SUM(COUNTIF(H34,{"*Lo-Fi*"})),"Song would perfectly fit in any Lo-Fi mood playlist! Label will invest up to 5000 EUR advertising on facebook and instagram ads aswell as promoting it over label and label partners playlists, radio stations and press.",IF(H34="","","")))</f>
        <v/>
      </c>
      <c r="V34" t="str">
        <f t="shared" ref="V34:V70" si="18">IF(N34="Cover","SGL",IF(N34="Radio","SGL",IF(N34="Remix","RMX",IF(N34="","","SGL"))))</f>
        <v/>
      </c>
      <c r="W34" t="str">
        <f t="shared" si="7"/>
        <v/>
      </c>
      <c r="X34" t="str">
        <f t="shared" si="8"/>
        <v/>
      </c>
      <c r="Z34" t="str">
        <f t="array" aca="1" ref="Z34" ca="1">+IFERROR(INDEX(INDIRECT((_xlfn.XLOOKUP(H34,map_location[Genre],map_location[location]))),RANK(INDIRECT((_xlfn.XLOOKUP(H34,map_location[Genre],map_location[MIN+1])),FALSE),INDIRECT((_xlfn.XLOOKUP(H34,map_location[Genre],map_location[rand]))),1)),"")</f>
        <v/>
      </c>
      <c r="AA34" t="str">
        <f t="array" ref="AA34">IF(SUM(COUNTIF(H34,{"*Deep*";"*Bass*";"*Slap*"})),"**Deep House**House**Dance**",IF(SUM(COUNTIF(H34,{"*Lo-Fi*"})),"**Lo-Fi Pop**Lo-Fi Beats**Lo-Fi**",IF(SUM(COUNTIF(H34,{"*Tech*"})),"**Deep House**Tech House**Dance**",IF(SUM(COUNTIF(H34,{"*Indie/Chill Dance*"})),"**Indie Dance**Indie Electronic**Dance Pop**",IF(SUM(COUNTIF(H34,{"*Piano*"})),"**House**Electro house**Melodic House**",IF(SUM(COUNTIF(H34,{"*EDM*"})),"**EDM**Electro house**Dance Pop**",IF(H34="","","")))))))</f>
        <v/>
      </c>
      <c r="AB34" t="str">
        <f t="array" ref="AB34">IF(SUM(COUNTIF(H34,{"*Deep*";"*Bass*";"*Slap*"})),"Energetic,Happy",IF(SUM(COUNTIF(H34,{"*Lo-Fi*"})),"Romantic,Chill",IF(SUM(COUNTIF(H34,{"*Tech*"})),"Energetic,Happy",IF(SUM(COUNTIF(H34,{"*Indie/Chill Dance*"})),"Energetic,Chill",IF(SUM(COUNTIF(H34,{"*Piano*"})),"Energetic,Happy",IF(SUM(COUNTIF(H34,{"*EDM*"})),"Energetic,Happy",IF(H34="","","")))))))</f>
        <v/>
      </c>
      <c r="AC34" t="str">
        <f t="array" ref="AC34">IF(SUM(COUNTIF(H34,{"*Deep*";"*Bass*";"*Slap*"})),"None of these",IF(SUM(COUNTIF(H34,{"*Lo-Fi*"})),"Holiday,Beats",IF(SUM(COUNTIF(H34,{"*Tech*"})),"None of these",IF(SUM(COUNTIF(H34,{"*Indie/Chill Dance*"})),"None of these",IF(SUM(COUNTIF(H34,{"*Piano*"})),"None of these",IF(SUM(COUNTIF(H34,{"*EDM*"})),"None of these",IF(H34="","","")))))))</f>
        <v/>
      </c>
      <c r="AD34" t="str">
        <f t="array" ref="AD34">IF(SUM(COUNTIF(H34,{"*Deep*";"*Bass*";"*Slap*"})),"Samples,Synthesizer,Bass Guitar,Piano,Drum Kit,Electric Guitar",IF(SUM(COUNTIF(H34,{"*Lo-Fi*"})),"Samples,Synthesizer,Bass Guitar,Piano,Drum Kit,Electric Guitar",IF(SUM(COUNTIF(H34,{"*Tech*"})),"Samples,Synthesizer,Bass Guitar,Piano,Drum Kit,Electric Guitar",IF(SUM(COUNTIF(H34,{"*Indie/Chill Dance*"})),"Samples,Synthesizer,Bass Guitar,Piano,Drum Kit,Electric Guitar",IF(SUM(COUNTIF(H34,{"*Piano*"})),"Samples,Synthesizer,Bass Guitar,Piano,Drum Kit,Electric Guitar",IF(SUM(COUNTIF(H34,{"*EDM*"})),"Samples,Synthesizer,Bass Guitar,Piano,Drum Kit,Electric Guitar",IF(H34="","","")))))))</f>
        <v/>
      </c>
      <c r="AE34" t="str">
        <f t="array" ref="AE34">IF(N34="Cover","Yes",IF(SUM(COUNTIF(N34,{"*Radio/Extended*";"*Radio*";"*Remix*"})),"No",""))</f>
        <v/>
      </c>
      <c r="AF34" t="str">
        <f t="array" ref="AF34">IF(N34="Remix","Yes",IF(SUM(COUNTIF(N34,{"*Radio/Extended*";"*Radio*";"*Cover*"})),"No",""))</f>
        <v/>
      </c>
      <c r="AG34" t="str">
        <f t="shared" ref="AG34:AG66" si="19">IF(ISTEXT(A34),"**English**","")</f>
        <v/>
      </c>
      <c r="AH34" t="str">
        <f t="array" aca="1" ref="AH34" ca="1">+TRIM(SUBSTITUTE(SUBSTITUTE(SUBSTITUTE(SUBSTITUTE(IFERROR(AQ34&amp;" "&amp;+_xlfn.XLOOKUP(((SUM(LEN(AP34))-SUM(LEN(SUBSTITUTE(AP34,",",""))))/LEN(",")+1)&amp;H34,#REF!&amp;#REF!,#REF!)&amp;CHAR(34)&amp;B34&amp;CHAR(34)&amp;"!"&amp;_xlfn.XLOOKUP(H34,#REF!,#REF!&amp;#REF!),""),"Second",AR34),"Third",AS34),"Forth",AT34),"Fifth",AU34&amp;" "))</f>
        <v/>
      </c>
      <c r="AI34" t="str">
        <f t="array" ref="AI34">IF(SUM(COUNTIF(H34,{"*Deep*";"*Bass*";"*Slap*"})),"**Deep House**Progressive House**House**",IF(SUM(COUNTIF(H34,{"*Lo-Fi*"})),"**Lo-Fi Hip Hop**Indie &amp; Lo Fi**Lounge**",IF(SUM(COUNTIF(H34,{"*Tech*"})),"**Tech House**Techno**Future House**",IF(SUM(COUNTIF(H34,{"*Indie/Chill Dance*"})),"**Chill Electronic**Indie Dance**Ambient**",IF(SUM(COUNTIF(H34,{"*Piano*"})),"**Progressive House**House**Dance Pop**",IF(SUM(COUNTIF(H34,{"*EDM*"})),"**Progressive House**House**EDM**",IF(H34="","","")))))))</f>
        <v/>
      </c>
      <c r="AJ34" t="str">
        <f t="shared" si="5"/>
        <v/>
      </c>
      <c r="AK34" t="str">
        <f t="array" ref="AK34">IF(SUM(COUNTIF(H34,{"*Deep*";"*Bass*";"*Slap*"})),"**Tiësto**Imanbek**",IF(SUM(COUNTIF(H34,{"*Lo-Fi*"})),"**L.Dre**Yasumu**",IF(SUM(COUNTIF(H34,{"*Tech*"})),"**Mau P**Gorgon City**",IF(SUM(COUNTIF(H34,{"*Indie/Chill Dance*"})),"**Felix Jaehn**Lost Frequencies**",IF(SUM(COUNTIF(H34,{"*Piano*"})),"**Avicii**Eric Prydz**",IF(SUM(COUNTIF(H34,{"*EDM*"})),"**David Guetta**Swedish House Mafia**",IF(H34="","","")))))))</f>
        <v/>
      </c>
      <c r="AL34" t="str">
        <f t="array" aca="1" ref="AL34" ca="1">+IFERROR(INDEX(INDIRECT((_xlfn.XLOOKUP(H34,map_country[Genre],map_country[country]))),RANK(INDIRECT((_xlfn.XLOOKUP(H34,map_country[Genre],map_country[min+7])),FALSE),INDIRECT((_xlfn.XLOOKUP(H34,map_country[Genre],map_country[rand]))),1)),"")</f>
        <v/>
      </c>
      <c r="AM34" t="str">
        <f t="array" ref="AM34">IF(SUM(COUNTIF(H34,{"*Deep*";"*Bass*";"*Slap*"})),"Cool,Upbeat,Dark",IF(SUM(COUNTIF(H34,{"*Lo-Fi*"})),"Sexy,Relaxing,Romantic",IF(SUM(COUNTIF(H34,{"*Tech*"})),"Cool,Upbeat,Dark",IF(SUM(COUNTIF(H34,{"*Indie/Chill Dance*"})),"Cool,Upbeat,Light",IF(SUM(COUNTIF(H34,{"*Piano*"})),"Cool,Upbeat,Light",IF(SUM(COUNTIF(H34,{"*EDM*"})),"Cool,Upbeat,Happy Mood",IF(H34="","","")))))))</f>
        <v/>
      </c>
      <c r="AN34" t="str">
        <f t="array" ref="AN34">IF(SUM(COUNTIF(H34,{"*Deep*";"*Bass*";"*Slap*"})),"Hard &amp; Heavy,Chilling Out &amp; Lounging,Happy &amp; Upbeat",IF(SUM(COUNTIF(H34,{"*Lo-Fi*"})),"Work, Study &amp; Reading,Chilling Out &amp; Lounging,Relaxed &amp; Laid Back",IF(SUM(COUNTIF(H34,{"*Tech*"})),"Hard &amp; Heavy,Chilling Out &amp; Lounging,Happy &amp; Upbeat",IF(SUM(COUNTIF(H34,{"*Indie/Chill Dance*"})),"Hard &amp; Heavy,Chilling Out &amp; Lounging,Happy &amp; Upbeat",IF(SUM(COUNTIF(H34,{"*Piano*"})),"Hard &amp; Heavy,Chilling Out &amp; Lounging,Happy &amp; Upbeat",IF(SUM(COUNTIF(H34,{"*EDM*"})),"Hard &amp; Heavy,Chilling Out &amp; Lounging,Happy &amp; Upbeat",IF(H34="","","")))))))</f>
        <v/>
      </c>
      <c r="AP34" s="9" t="str">
        <f t="shared" ref="AP34:AP65" si="20">TRIM(SUBSTITUTE(SUBSTITUTE(SUBSTITUTE(A34,"&amp;",","),"feat",","),".",""))</f>
        <v/>
      </c>
      <c r="AQ34" s="9" t="str">
        <f ca="1">IFERROR(_xlfn.TEXTBEFORE(AP34,","),AP34)</f>
        <v/>
      </c>
      <c r="AR34" s="9" t="str">
        <f ca="1">IFERROR(TRIM(SUBSTITUTE(SUBSTITUTE(SUBSTITUTE(SUBSTITUTE(_xlfn.TEXTAFTER(AP34,",",1),AS34,""),AT34,""),AU34,""),",","")),"")</f>
        <v/>
      </c>
      <c r="AS34" s="9" t="str">
        <f ca="1">IFERROR(SUBSTITUTE(SUBSTITUTE(SUBSTITUTE(_xlfn.TEXTAFTER(AP34,",",2),AT34,""),",",""),AU34,""),"")</f>
        <v/>
      </c>
      <c r="AT34" s="9" t="str">
        <f ca="1">IFERROR(SUBSTITUTE(SUBSTITUTE(_xlfn.TEXTAFTER(AP34,",",3),AU34,""),",",""),"")</f>
        <v/>
      </c>
      <c r="AU34" s="9" t="str">
        <f ca="1">IFERROR(_xlfn.TEXTAFTER(AP34,",",4),"")</f>
        <v/>
      </c>
      <c r="AX34" t="s">
        <v>40</v>
      </c>
      <c r="BA34" t="s">
        <v>2</v>
      </c>
      <c r="BB34" t="s">
        <v>7</v>
      </c>
      <c r="BC34" t="s">
        <v>42</v>
      </c>
      <c r="BF34" t="s">
        <v>2</v>
      </c>
      <c r="BG34" t="s">
        <v>7</v>
      </c>
      <c r="BH34" t="s">
        <v>42</v>
      </c>
      <c r="BK34" t="s">
        <v>2</v>
      </c>
      <c r="BL34" t="s">
        <v>7</v>
      </c>
      <c r="BM34" t="s">
        <v>42</v>
      </c>
    </row>
    <row r="35" spans="6:65" x14ac:dyDescent="0.25">
      <c r="F35" s="3"/>
      <c r="H35" s="7"/>
      <c r="P35" t="str">
        <f t="shared" si="15"/>
        <v/>
      </c>
      <c r="Q35" t="str">
        <f t="shared" si="16"/>
        <v/>
      </c>
      <c r="R35" t="str">
        <f t="shared" si="17"/>
        <v/>
      </c>
      <c r="S35" t="str">
        <f t="array" ref="S35">IF(SUM(COUNTIF(H35,{"*Deep*";"*Bass*";"*Slap*"})),"Other:Deep House",IF(SUM(COUNTIF(H35,{"*Lo-Fi*"})),"Other:Lo-Fi",IF(SUM(COUNTIF(H35,{"*Tech*"})),"Other:Tech House",IF(SUM(COUNTIF(H35,{"*Indie/Chill Dance*"})),"Other:Indie/Chill Dance",IF(SUM(COUNTIF(H35,{"*Piano*"})),"Other:Piano House",IF(SUM(COUNTIF(H35,{"*EDM*"})),"edm dance",IF(H35="","","")))))))</f>
        <v/>
      </c>
      <c r="T35" t="str">
        <f t="array" ref="T35">IF(SUM(COUNTIF(H35,{"*Deep*";"*Bass*";"*Slap*"})),"energetic",IF(SUM(COUNTIF(H35,{"*Lo-Fi*"})),"calm",IF(SUM(COUNTIF(H35,{"*Tech*"})),"energetic",IF(SUM(COUNTIF(H35,{"*Indie/Chill Dance*"})),"chillout",IF(SUM(COUNTIF(H35,{"*Piano*"})),"energetic",IF(SUM(COUNTIF(H35,{"*EDM*"})),"energetic",IF(H35="","","")))))))</f>
        <v/>
      </c>
      <c r="U35" t="str">
        <f t="array" ref="U35">IF(SUM(COUNTIF(H35,{"*Tech*";"*EDM*";"*Indie*";"*Deep*";"*Piano*";"*Slap*";"*Brazilian Bass*"})),"Song would perfectly fit in any dance mood playlist! Label will invest up to 5000 EUR advertising on facebook and instagram ads aswell as promoting it over label and label partners playlists, radio stations and press.",IF(SUM(COUNTIF(H35,{"*Lo-Fi*"})),"Song would perfectly fit in any Lo-Fi mood playlist! Label will invest up to 5000 EUR advertising on facebook and instagram ads aswell as promoting it over label and label partners playlists, radio stations and press.",IF(H35="","","")))</f>
        <v/>
      </c>
      <c r="V35" t="str">
        <f t="shared" si="18"/>
        <v/>
      </c>
      <c r="W35" t="str">
        <f t="shared" si="7"/>
        <v/>
      </c>
      <c r="X35" t="str">
        <f t="shared" si="8"/>
        <v/>
      </c>
      <c r="Z35" t="str">
        <f t="array" aca="1" ref="Z35" ca="1">+IFERROR(INDEX(INDIRECT((_xlfn.XLOOKUP(H35,map_location[Genre],map_location[location]))),RANK(INDIRECT((_xlfn.XLOOKUP(H35,map_location[Genre],map_location[MIN+1])),FALSE),INDIRECT((_xlfn.XLOOKUP(H35,map_location[Genre],map_location[rand]))),1)),"")</f>
        <v/>
      </c>
      <c r="AA35" t="str">
        <f t="array" ref="AA35">IF(SUM(COUNTIF(H35,{"*Deep*";"*Bass*";"*Slap*"})),"**Deep House**House**Dance**",IF(SUM(COUNTIF(H35,{"*Lo-Fi*"})),"**Lo-Fi Pop**Lo-Fi Beats**Lo-Fi**",IF(SUM(COUNTIF(H35,{"*Tech*"})),"**Deep House**Tech House**Dance**",IF(SUM(COUNTIF(H35,{"*Indie/Chill Dance*"})),"**Indie Dance**Indie Electronic**Dance Pop**",IF(SUM(COUNTIF(H35,{"*Piano*"})),"**House**Electro house**Melodic House**",IF(SUM(COUNTIF(H35,{"*EDM*"})),"**EDM**Electro house**Dance Pop**",IF(H35="","","")))))))</f>
        <v/>
      </c>
      <c r="AB35" t="str">
        <f t="array" ref="AB35">IF(SUM(COUNTIF(H35,{"*Deep*";"*Bass*";"*Slap*"})),"Energetic,Happy",IF(SUM(COUNTIF(H35,{"*Lo-Fi*"})),"Romantic,Chill",IF(SUM(COUNTIF(H35,{"*Tech*"})),"Energetic,Happy",IF(SUM(COUNTIF(H35,{"*Indie/Chill Dance*"})),"Energetic,Chill",IF(SUM(COUNTIF(H35,{"*Piano*"})),"Energetic,Happy",IF(SUM(COUNTIF(H35,{"*EDM*"})),"Energetic,Happy",IF(H35="","","")))))))</f>
        <v/>
      </c>
      <c r="AC35" t="str">
        <f t="array" ref="AC35">IF(SUM(COUNTIF(H35,{"*Deep*";"*Bass*";"*Slap*"})),"None of these",IF(SUM(COUNTIF(H35,{"*Lo-Fi*"})),"Holiday,Beats",IF(SUM(COUNTIF(H35,{"*Tech*"})),"None of these",IF(SUM(COUNTIF(H35,{"*Indie/Chill Dance*"})),"None of these",IF(SUM(COUNTIF(H35,{"*Piano*"})),"None of these",IF(SUM(COUNTIF(H35,{"*EDM*"})),"None of these",IF(H35="","","")))))))</f>
        <v/>
      </c>
      <c r="AD35" t="str">
        <f t="array" ref="AD35">IF(SUM(COUNTIF(H35,{"*Deep*";"*Bass*";"*Slap*"})),"Samples,Synthesizer,Bass Guitar,Piano,Drum Kit,Electric Guitar",IF(SUM(COUNTIF(H35,{"*Lo-Fi*"})),"Samples,Synthesizer,Bass Guitar,Piano,Drum Kit,Electric Guitar",IF(SUM(COUNTIF(H35,{"*Tech*"})),"Samples,Synthesizer,Bass Guitar,Piano,Drum Kit,Electric Guitar",IF(SUM(COUNTIF(H35,{"*Indie/Chill Dance*"})),"Samples,Synthesizer,Bass Guitar,Piano,Drum Kit,Electric Guitar",IF(SUM(COUNTIF(H35,{"*Piano*"})),"Samples,Synthesizer,Bass Guitar,Piano,Drum Kit,Electric Guitar",IF(SUM(COUNTIF(H35,{"*EDM*"})),"Samples,Synthesizer,Bass Guitar,Piano,Drum Kit,Electric Guitar",IF(H35="","","")))))))</f>
        <v/>
      </c>
      <c r="AE35" t="str">
        <f t="array" ref="AE35">IF(N35="Cover","Yes",IF(SUM(COUNTIF(N35,{"*Radio/Extended*";"*Radio*";"*Remix*"})),"No",""))</f>
        <v/>
      </c>
      <c r="AF35" t="str">
        <f t="array" ref="AF35">IF(N35="Remix","Yes",IF(SUM(COUNTIF(N35,{"*Radio/Extended*";"*Radio*";"*Cover*"})),"No",""))</f>
        <v/>
      </c>
      <c r="AG35" t="str">
        <f t="shared" si="19"/>
        <v/>
      </c>
      <c r="AH35" t="str">
        <f t="array" aca="1" ref="AH35" ca="1">+TRIM(SUBSTITUTE(SUBSTITUTE(SUBSTITUTE(SUBSTITUTE(IFERROR(AQ35&amp;" "&amp;+_xlfn.XLOOKUP(((SUM(LEN(AP35))-SUM(LEN(SUBSTITUTE(AP35,",",""))))/LEN(",")+1)&amp;H35,#REF!&amp;#REF!,#REF!)&amp;CHAR(34)&amp;B35&amp;CHAR(34)&amp;"!"&amp;_xlfn.XLOOKUP(H35,#REF!,#REF!&amp;#REF!),""),"Second",AR35),"Third",AS35),"Forth",AT35),"Fifth",AU35&amp;" "))</f>
        <v/>
      </c>
      <c r="AI35" t="str">
        <f t="array" ref="AI35">IF(SUM(COUNTIF(H35,{"*Deep*";"*Bass*";"*Slap*"})),"**Deep House**Progressive House**House**",IF(SUM(COUNTIF(H35,{"*Lo-Fi*"})),"**Lo-Fi Hip Hop**Indie &amp; Lo Fi**Lounge**",IF(SUM(COUNTIF(H35,{"*Tech*"})),"**Tech House**Techno**Future House**",IF(SUM(COUNTIF(H35,{"*Indie/Chill Dance*"})),"**Chill Electronic**Indie Dance**Ambient**",IF(SUM(COUNTIF(H35,{"*Piano*"})),"**Progressive House**House**Dance Pop**",IF(SUM(COUNTIF(H35,{"*EDM*"})),"**Progressive House**House**EDM**",IF(H35="","","")))))))</f>
        <v/>
      </c>
      <c r="AJ35" t="str">
        <f t="shared" si="5"/>
        <v/>
      </c>
      <c r="AK35" t="str">
        <f t="array" ref="AK35">IF(SUM(COUNTIF(H35,{"*Deep*";"*Bass*";"*Slap*"})),"**Tiësto**Imanbek**",IF(SUM(COUNTIF(H35,{"*Lo-Fi*"})),"**L.Dre**Yasumu**",IF(SUM(COUNTIF(H35,{"*Tech*"})),"**Mau P**Gorgon City**",IF(SUM(COUNTIF(H35,{"*Indie/Chill Dance*"})),"**Felix Jaehn**Lost Frequencies**",IF(SUM(COUNTIF(H35,{"*Piano*"})),"**Avicii**Eric Prydz**",IF(SUM(COUNTIF(H35,{"*EDM*"})),"**David Guetta**Swedish House Mafia**",IF(H35="","","")))))))</f>
        <v/>
      </c>
      <c r="AL35" t="str">
        <f t="array" aca="1" ref="AL35" ca="1">+IFERROR(INDEX(INDIRECT((_xlfn.XLOOKUP(H35,map_country[Genre],map_country[country]))),RANK(INDIRECT((_xlfn.XLOOKUP(H35,map_country[Genre],map_country[min+7])),FALSE),INDIRECT((_xlfn.XLOOKUP(H35,map_country[Genre],map_country[rand]))),1)),"")</f>
        <v/>
      </c>
      <c r="AM35" t="str">
        <f t="array" ref="AM35">IF(SUM(COUNTIF(H35,{"*Deep*";"*Bass*";"*Slap*"})),"Cool,Upbeat,Dark",IF(SUM(COUNTIF(H35,{"*Lo-Fi*"})),"Sexy,Relaxing,Romantic",IF(SUM(COUNTIF(H35,{"*Tech*"})),"Cool,Upbeat,Dark",IF(SUM(COUNTIF(H35,{"*Indie/Chill Dance*"})),"Cool,Upbeat,Light",IF(SUM(COUNTIF(H35,{"*Piano*"})),"Cool,Upbeat,Light",IF(SUM(COUNTIF(H35,{"*EDM*"})),"Cool,Upbeat,Happy Mood",IF(H35="","","")))))))</f>
        <v/>
      </c>
      <c r="AN35" t="str">
        <f t="array" ref="AN35">IF(SUM(COUNTIF(H35,{"*Deep*";"*Bass*";"*Slap*"})),"Hard &amp; Heavy,Chilling Out &amp; Lounging,Happy &amp; Upbeat",IF(SUM(COUNTIF(H35,{"*Lo-Fi*"})),"Work, Study &amp; Reading,Chilling Out &amp; Lounging,Relaxed &amp; Laid Back",IF(SUM(COUNTIF(H35,{"*Tech*"})),"Hard &amp; Heavy,Chilling Out &amp; Lounging,Happy &amp; Upbeat",IF(SUM(COUNTIF(H35,{"*Indie/Chill Dance*"})),"Hard &amp; Heavy,Chilling Out &amp; Lounging,Happy &amp; Upbeat",IF(SUM(COUNTIF(H35,{"*Piano*"})),"Hard &amp; Heavy,Chilling Out &amp; Lounging,Happy &amp; Upbeat",IF(SUM(COUNTIF(H35,{"*EDM*"})),"Hard &amp; Heavy,Chilling Out &amp; Lounging,Happy &amp; Upbeat",IF(H35="","","")))))))</f>
        <v/>
      </c>
      <c r="AP35" s="9" t="str">
        <f t="shared" si="20"/>
        <v/>
      </c>
      <c r="AQ35" s="9" t="str">
        <f ca="1">IFERROR(_xlfn.TEXTBEFORE(AP35,","),AP35)</f>
        <v/>
      </c>
      <c r="AR35" s="9" t="str">
        <f ca="1">IFERROR(TRIM(SUBSTITUTE(SUBSTITUTE(SUBSTITUTE(SUBSTITUTE(_xlfn.TEXTAFTER(AP35,",",1),AS35,""),AT35,""),AU35,""),",","")),"")</f>
        <v/>
      </c>
      <c r="AS35" s="9" t="str">
        <f ca="1">IFERROR(SUBSTITUTE(SUBSTITUTE(SUBSTITUTE(_xlfn.TEXTAFTER(AP35,",",2),AT35,""),",",""),AU35,""),"")</f>
        <v/>
      </c>
      <c r="AT35" s="9" t="str">
        <f ca="1">IFERROR(SUBSTITUTE(SUBSTITUTE(_xlfn.TEXTAFTER(AP35,",",3),AU35,""),",",""),"")</f>
        <v/>
      </c>
      <c r="AU35" s="9" t="str">
        <f ca="1">IFERROR(_xlfn.TEXTAFTER(AP35,",",4),"")</f>
        <v/>
      </c>
      <c r="AX35" t="s">
        <v>40</v>
      </c>
      <c r="BA35" t="s">
        <v>127</v>
      </c>
      <c r="BB35" t="s">
        <v>56</v>
      </c>
      <c r="BC35">
        <f t="shared" ref="BC35:BC45" ca="1" si="21">+RAND()</f>
        <v>0.89889294807267994</v>
      </c>
      <c r="BF35" t="s">
        <v>127</v>
      </c>
      <c r="BG35" t="s">
        <v>33</v>
      </c>
      <c r="BH35">
        <f ca="1">+RAND()</f>
        <v>0.73928441958870694</v>
      </c>
      <c r="BK35" t="s">
        <v>127</v>
      </c>
      <c r="BL35" t="s">
        <v>54</v>
      </c>
      <c r="BM35">
        <f t="shared" ref="BM35:BM45" ca="1" si="22">+RAND()</f>
        <v>0.70175030544554784</v>
      </c>
    </row>
    <row r="36" spans="6:65" x14ac:dyDescent="0.25">
      <c r="F36" s="3"/>
      <c r="H36" s="7"/>
      <c r="P36" t="str">
        <f t="shared" si="15"/>
        <v/>
      </c>
      <c r="Q36" t="str">
        <f t="shared" si="16"/>
        <v/>
      </c>
      <c r="R36" t="str">
        <f t="shared" si="17"/>
        <v/>
      </c>
      <c r="S36" t="str">
        <f t="array" ref="S36">IF(SUM(COUNTIF(H36,{"*Deep*";"*Bass*";"*Slap*"})),"Other:Deep House",IF(SUM(COUNTIF(H36,{"*Lo-Fi*"})),"Other:Lo-Fi",IF(SUM(COUNTIF(H36,{"*Tech*"})),"Other:Tech House",IF(SUM(COUNTIF(H36,{"*Indie/Chill Dance*"})),"Other:Indie/Chill Dance",IF(SUM(COUNTIF(H36,{"*Piano*"})),"Other:Piano House",IF(SUM(COUNTIF(H36,{"*EDM*"})),"edm dance",IF(H36="","","")))))))</f>
        <v/>
      </c>
      <c r="T36" t="str">
        <f t="array" ref="T36">IF(SUM(COUNTIF(H36,{"*Deep*";"*Bass*";"*Slap*"})),"energetic",IF(SUM(COUNTIF(H36,{"*Lo-Fi*"})),"calm",IF(SUM(COUNTIF(H36,{"*Tech*"})),"energetic",IF(SUM(COUNTIF(H36,{"*Indie/Chill Dance*"})),"chillout",IF(SUM(COUNTIF(H36,{"*Piano*"})),"energetic",IF(SUM(COUNTIF(H36,{"*EDM*"})),"energetic",IF(H36="","","")))))))</f>
        <v/>
      </c>
      <c r="U36" t="str">
        <f t="array" ref="U36">IF(SUM(COUNTIF(H36,{"*Tech*";"*EDM*";"*Indie*";"*Deep*";"*Piano*";"*Slap*";"*Brazilian Bass*"})),"Song would perfectly fit in any dance mood playlist! Label will invest up to 5000 EUR advertising on facebook and instagram ads aswell as promoting it over label and label partners playlists, radio stations and press.",IF(SUM(COUNTIF(H36,{"*Lo-Fi*"})),"Song would perfectly fit in any Lo-Fi mood playlist! Label will invest up to 5000 EUR advertising on facebook and instagram ads aswell as promoting it over label and label partners playlists, radio stations and press.",IF(H36="","","")))</f>
        <v/>
      </c>
      <c r="V36" t="str">
        <f t="shared" si="18"/>
        <v/>
      </c>
      <c r="W36" t="str">
        <f t="shared" si="7"/>
        <v/>
      </c>
      <c r="X36" t="str">
        <f t="shared" si="8"/>
        <v/>
      </c>
      <c r="Z36" t="str">
        <f t="array" aca="1" ref="Z36" ca="1">+IFERROR(INDEX(INDIRECT((_xlfn.XLOOKUP(H36,map_location[Genre],map_location[location]))),RANK(INDIRECT((_xlfn.XLOOKUP(H36,map_location[Genre],map_location[MIN+1])),FALSE),INDIRECT((_xlfn.XLOOKUP(H36,map_location[Genre],map_location[rand]))),1)),"")</f>
        <v/>
      </c>
      <c r="AA36" t="str">
        <f t="array" ref="AA36">IF(SUM(COUNTIF(H36,{"*Deep*";"*Bass*";"*Slap*"})),"**Deep House**House**Dance**",IF(SUM(COUNTIF(H36,{"*Lo-Fi*"})),"**Lo-Fi Pop**Lo-Fi Beats**Lo-Fi**",IF(SUM(COUNTIF(H36,{"*Tech*"})),"**Deep House**Tech House**Dance**",IF(SUM(COUNTIF(H36,{"*Indie/Chill Dance*"})),"**Indie Dance**Indie Electronic**Dance Pop**",IF(SUM(COUNTIF(H36,{"*Piano*"})),"**House**Electro house**Melodic House**",IF(SUM(COUNTIF(H36,{"*EDM*"})),"**EDM**Electro house**Dance Pop**",IF(H36="","","")))))))</f>
        <v/>
      </c>
      <c r="AB36" t="str">
        <f t="array" ref="AB36">IF(SUM(COUNTIF(H36,{"*Deep*";"*Bass*";"*Slap*"})),"Energetic,Happy",IF(SUM(COUNTIF(H36,{"*Lo-Fi*"})),"Romantic,Chill",IF(SUM(COUNTIF(H36,{"*Tech*"})),"Energetic,Happy",IF(SUM(COUNTIF(H36,{"*Indie/Chill Dance*"})),"Energetic,Chill",IF(SUM(COUNTIF(H36,{"*Piano*"})),"Energetic,Happy",IF(SUM(COUNTIF(H36,{"*EDM*"})),"Energetic,Happy",IF(H36="","","")))))))</f>
        <v/>
      </c>
      <c r="AC36" t="str">
        <f t="array" ref="AC36">IF(SUM(COUNTIF(H36,{"*Deep*";"*Bass*";"*Slap*"})),"None of these",IF(SUM(COUNTIF(H36,{"*Lo-Fi*"})),"Holiday,Beats",IF(SUM(COUNTIF(H36,{"*Tech*"})),"None of these",IF(SUM(COUNTIF(H36,{"*Indie/Chill Dance*"})),"None of these",IF(SUM(COUNTIF(H36,{"*Piano*"})),"None of these",IF(SUM(COUNTIF(H36,{"*EDM*"})),"None of these",IF(H36="","","")))))))</f>
        <v/>
      </c>
      <c r="AD36" t="str">
        <f t="array" ref="AD36">IF(SUM(COUNTIF(H36,{"*Deep*";"*Bass*";"*Slap*"})),"Samples,Synthesizer,Bass Guitar,Piano,Drum Kit,Electric Guitar",IF(SUM(COUNTIF(H36,{"*Lo-Fi*"})),"Samples,Synthesizer,Bass Guitar,Piano,Drum Kit,Electric Guitar",IF(SUM(COUNTIF(H36,{"*Tech*"})),"Samples,Synthesizer,Bass Guitar,Piano,Drum Kit,Electric Guitar",IF(SUM(COUNTIF(H36,{"*Indie/Chill Dance*"})),"Samples,Synthesizer,Bass Guitar,Piano,Drum Kit,Electric Guitar",IF(SUM(COUNTIF(H36,{"*Piano*"})),"Samples,Synthesizer,Bass Guitar,Piano,Drum Kit,Electric Guitar",IF(SUM(COUNTIF(H36,{"*EDM*"})),"Samples,Synthesizer,Bass Guitar,Piano,Drum Kit,Electric Guitar",IF(H36="","","")))))))</f>
        <v/>
      </c>
      <c r="AE36" t="str">
        <f t="array" ref="AE36">IF(N36="Cover","Yes",IF(SUM(COUNTIF(N36,{"*Radio/Extended*";"*Radio*";"*Remix*"})),"No",""))</f>
        <v/>
      </c>
      <c r="AF36" t="str">
        <f t="array" ref="AF36">IF(N36="Remix","Yes",IF(SUM(COUNTIF(N36,{"*Radio/Extended*";"*Radio*";"*Cover*"})),"No",""))</f>
        <v/>
      </c>
      <c r="AG36" t="str">
        <f t="shared" si="19"/>
        <v/>
      </c>
      <c r="AH36" t="str">
        <f t="array" aca="1" ref="AH36" ca="1">+TRIM(SUBSTITUTE(SUBSTITUTE(SUBSTITUTE(SUBSTITUTE(IFERROR(AQ36&amp;" "&amp;+_xlfn.XLOOKUP(((SUM(LEN(AP36))-SUM(LEN(SUBSTITUTE(AP36,",",""))))/LEN(",")+1)&amp;H36,#REF!&amp;#REF!,#REF!)&amp;CHAR(34)&amp;B36&amp;CHAR(34)&amp;"!"&amp;_xlfn.XLOOKUP(H36,#REF!,#REF!&amp;#REF!),""),"Second",AR36),"Third",AS36),"Forth",AT36),"Fifth",AU36&amp;" "))</f>
        <v/>
      </c>
      <c r="AI36" t="str">
        <f t="array" ref="AI36">IF(SUM(COUNTIF(H36,{"*Deep*";"*Bass*";"*Slap*"})),"**Deep House**Progressive House**House**",IF(SUM(COUNTIF(H36,{"*Lo-Fi*"})),"**Lo-Fi Hip Hop**Indie &amp; Lo Fi**Lounge**",IF(SUM(COUNTIF(H36,{"*Tech*"})),"**Tech House**Techno**Future House**",IF(SUM(COUNTIF(H36,{"*Indie/Chill Dance*"})),"**Chill Electronic**Indie Dance**Ambient**",IF(SUM(COUNTIF(H36,{"*Piano*"})),"**Progressive House**House**Dance Pop**",IF(SUM(COUNTIF(H36,{"*EDM*"})),"**Progressive House**House**EDM**",IF(H36="","","")))))))</f>
        <v/>
      </c>
      <c r="AJ36" t="str">
        <f t="shared" si="5"/>
        <v/>
      </c>
      <c r="AK36" t="str">
        <f t="array" ref="AK36">IF(SUM(COUNTIF(H36,{"*Deep*";"*Bass*";"*Slap*"})),"**Tiësto**Imanbek**",IF(SUM(COUNTIF(H36,{"*Lo-Fi*"})),"**L.Dre**Yasumu**",IF(SUM(COUNTIF(H36,{"*Tech*"})),"**Mau P**Gorgon City**",IF(SUM(COUNTIF(H36,{"*Indie/Chill Dance*"})),"**Felix Jaehn**Lost Frequencies**",IF(SUM(COUNTIF(H36,{"*Piano*"})),"**Avicii**Eric Prydz**",IF(SUM(COUNTIF(H36,{"*EDM*"})),"**David Guetta**Swedish House Mafia**",IF(H36="","","")))))))</f>
        <v/>
      </c>
      <c r="AL36" t="str">
        <f t="array" aca="1" ref="AL36" ca="1">+IFERROR(INDEX(INDIRECT((_xlfn.XLOOKUP(H36,map_country[Genre],map_country[country]))),RANK(INDIRECT((_xlfn.XLOOKUP(H36,map_country[Genre],map_country[min+7])),FALSE),INDIRECT((_xlfn.XLOOKUP(H36,map_country[Genre],map_country[rand]))),1)),"")</f>
        <v/>
      </c>
      <c r="AM36" t="str">
        <f t="array" ref="AM36">IF(SUM(COUNTIF(H36,{"*Deep*";"*Bass*";"*Slap*"})),"Cool,Upbeat,Dark",IF(SUM(COUNTIF(H36,{"*Lo-Fi*"})),"Sexy,Relaxing,Romantic",IF(SUM(COUNTIF(H36,{"*Tech*"})),"Cool,Upbeat,Dark",IF(SUM(COUNTIF(H36,{"*Indie/Chill Dance*"})),"Cool,Upbeat,Light",IF(SUM(COUNTIF(H36,{"*Piano*"})),"Cool,Upbeat,Light",IF(SUM(COUNTIF(H36,{"*EDM*"})),"Cool,Upbeat,Happy Mood",IF(H36="","","")))))))</f>
        <v/>
      </c>
      <c r="AN36" t="str">
        <f t="array" ref="AN36">IF(SUM(COUNTIF(H36,{"*Deep*";"*Bass*";"*Slap*"})),"Hard &amp; Heavy,Chilling Out &amp; Lounging,Happy &amp; Upbeat",IF(SUM(COUNTIF(H36,{"*Lo-Fi*"})),"Work, Study &amp; Reading,Chilling Out &amp; Lounging,Relaxed &amp; Laid Back",IF(SUM(COUNTIF(H36,{"*Tech*"})),"Hard &amp; Heavy,Chilling Out &amp; Lounging,Happy &amp; Upbeat",IF(SUM(COUNTIF(H36,{"*Indie/Chill Dance*"})),"Hard &amp; Heavy,Chilling Out &amp; Lounging,Happy &amp; Upbeat",IF(SUM(COUNTIF(H36,{"*Piano*"})),"Hard &amp; Heavy,Chilling Out &amp; Lounging,Happy &amp; Upbeat",IF(SUM(COUNTIF(H36,{"*EDM*"})),"Hard &amp; Heavy,Chilling Out &amp; Lounging,Happy &amp; Upbeat",IF(H36="","","")))))))</f>
        <v/>
      </c>
      <c r="AP36" s="9" t="str">
        <f t="shared" si="20"/>
        <v/>
      </c>
      <c r="AQ36" s="9" t="str">
        <f ca="1">IFERROR(_xlfn.TEXTBEFORE(AP36,","),AP36)</f>
        <v/>
      </c>
      <c r="AR36" s="9" t="str">
        <f ca="1">IFERROR(TRIM(SUBSTITUTE(SUBSTITUTE(SUBSTITUTE(SUBSTITUTE(_xlfn.TEXTAFTER(AP36,",",1),AS36,""),AT36,""),AU36,""),",","")),"")</f>
        <v/>
      </c>
      <c r="AS36" s="9" t="str">
        <f ca="1">IFERROR(SUBSTITUTE(SUBSTITUTE(SUBSTITUTE(_xlfn.TEXTAFTER(AP36,",",2),AT36,""),",",""),AU36,""),"")</f>
        <v/>
      </c>
      <c r="AT36" s="9" t="str">
        <f ca="1">IFERROR(SUBSTITUTE(SUBSTITUTE(_xlfn.TEXTAFTER(AP36,",",3),AU36,""),",",""),"")</f>
        <v/>
      </c>
      <c r="AU36" s="9" t="str">
        <f ca="1">IFERROR(_xlfn.TEXTAFTER(AP36,",",4),"")</f>
        <v/>
      </c>
      <c r="AX36" t="s">
        <v>40</v>
      </c>
      <c r="BA36" t="s">
        <v>128</v>
      </c>
      <c r="BB36" t="s">
        <v>56</v>
      </c>
      <c r="BC36">
        <f t="shared" ca="1" si="21"/>
        <v>0.67019291499894373</v>
      </c>
      <c r="BF36" t="s">
        <v>129</v>
      </c>
      <c r="BG36" t="s">
        <v>33</v>
      </c>
      <c r="BH36">
        <f ca="1">+RAND()</f>
        <v>0.26814890266665303</v>
      </c>
      <c r="BK36" t="s">
        <v>128</v>
      </c>
      <c r="BL36" t="s">
        <v>54</v>
      </c>
      <c r="BM36">
        <f t="shared" ca="1" si="22"/>
        <v>0.94314578221567036</v>
      </c>
    </row>
    <row r="37" spans="6:65" x14ac:dyDescent="0.25">
      <c r="F37" s="3"/>
      <c r="H37" s="7"/>
      <c r="P37" t="str">
        <f t="shared" si="15"/>
        <v/>
      </c>
      <c r="Q37" t="str">
        <f t="shared" si="16"/>
        <v/>
      </c>
      <c r="R37" t="str">
        <f t="shared" si="17"/>
        <v/>
      </c>
      <c r="S37" t="str">
        <f t="array" ref="S37">IF(SUM(COUNTIF(H37,{"*Deep*";"*Bass*";"*Slap*"})),"Other:Deep House",IF(SUM(COUNTIF(H37,{"*Lo-Fi*"})),"Other:Lo-Fi",IF(SUM(COUNTIF(H37,{"*Tech*"})),"Other:Tech House",IF(SUM(COUNTIF(H37,{"*Indie/Chill Dance*"})),"Other:Indie/Chill Dance",IF(SUM(COUNTIF(H37,{"*Piano*"})),"Other:Piano House",IF(SUM(COUNTIF(H37,{"*EDM*"})),"edm dance",IF(H37="","","")))))))</f>
        <v/>
      </c>
      <c r="T37" t="str">
        <f t="array" ref="T37">IF(SUM(COUNTIF(H37,{"*Deep*";"*Bass*";"*Slap*"})),"energetic",IF(SUM(COUNTIF(H37,{"*Lo-Fi*"})),"calm",IF(SUM(COUNTIF(H37,{"*Tech*"})),"energetic",IF(SUM(COUNTIF(H37,{"*Indie/Chill Dance*"})),"chillout",IF(SUM(COUNTIF(H37,{"*Piano*"})),"energetic",IF(SUM(COUNTIF(H37,{"*EDM*"})),"energetic",IF(H37="","","")))))))</f>
        <v/>
      </c>
      <c r="U37" t="str">
        <f t="array" ref="U37">IF(SUM(COUNTIF(H37,{"*Tech*";"*EDM*";"*Indie*";"*Deep*";"*Piano*";"*Slap*";"*Brazilian Bass*"})),"Song would perfectly fit in any dance mood playlist! Label will invest up to 5000 EUR advertising on facebook and instagram ads aswell as promoting it over label and label partners playlists, radio stations and press.",IF(SUM(COUNTIF(H37,{"*Lo-Fi*"})),"Song would perfectly fit in any Lo-Fi mood playlist! Label will invest up to 5000 EUR advertising on facebook and instagram ads aswell as promoting it over label and label partners playlists, radio stations and press.",IF(H37="","","")))</f>
        <v/>
      </c>
      <c r="V37" t="str">
        <f t="shared" si="18"/>
        <v/>
      </c>
      <c r="W37" t="str">
        <f t="shared" si="7"/>
        <v/>
      </c>
      <c r="X37" t="str">
        <f t="shared" si="8"/>
        <v/>
      </c>
      <c r="Z37" t="str">
        <f t="array" aca="1" ref="Z37" ca="1">+IFERROR(INDEX(INDIRECT((_xlfn.XLOOKUP(H37,map_location[Genre],map_location[location]))),RANK(INDIRECT((_xlfn.XLOOKUP(H37,map_location[Genre],map_location[MIN+1])),FALSE),INDIRECT((_xlfn.XLOOKUP(H37,map_location[Genre],map_location[rand]))),1)),"")</f>
        <v/>
      </c>
      <c r="AA37" t="str">
        <f t="array" ref="AA37">IF(SUM(COUNTIF(H37,{"*Deep*";"*Bass*";"*Slap*"})),"**Deep House**House**Dance**",IF(SUM(COUNTIF(H37,{"*Lo-Fi*"})),"**Lo-Fi Pop**Lo-Fi Beats**Lo-Fi**",IF(SUM(COUNTIF(H37,{"*Tech*"})),"**Deep House**Tech House**Dance**",IF(SUM(COUNTIF(H37,{"*Indie/Chill Dance*"})),"**Indie Dance**Indie Electronic**Dance Pop**",IF(SUM(COUNTIF(H37,{"*Piano*"})),"**House**Electro house**Melodic House**",IF(SUM(COUNTIF(H37,{"*EDM*"})),"**EDM**Electro house**Dance Pop**",IF(H37="","","")))))))</f>
        <v/>
      </c>
      <c r="AB37" t="str">
        <f t="array" ref="AB37">IF(SUM(COUNTIF(H37,{"*Deep*";"*Bass*";"*Slap*"})),"Energetic,Happy",IF(SUM(COUNTIF(H37,{"*Lo-Fi*"})),"Romantic,Chill",IF(SUM(COUNTIF(H37,{"*Tech*"})),"Energetic,Happy",IF(SUM(COUNTIF(H37,{"*Indie/Chill Dance*"})),"Energetic,Chill",IF(SUM(COUNTIF(H37,{"*Piano*"})),"Energetic,Happy",IF(SUM(COUNTIF(H37,{"*EDM*"})),"Energetic,Happy",IF(H37="","","")))))))</f>
        <v/>
      </c>
      <c r="AC37" t="str">
        <f t="array" ref="AC37">IF(SUM(COUNTIF(H37,{"*Deep*";"*Bass*";"*Slap*"})),"None of these",IF(SUM(COUNTIF(H37,{"*Lo-Fi*"})),"Holiday,Beats",IF(SUM(COUNTIF(H37,{"*Tech*"})),"None of these",IF(SUM(COUNTIF(H37,{"*Indie/Chill Dance*"})),"None of these",IF(SUM(COUNTIF(H37,{"*Piano*"})),"None of these",IF(SUM(COUNTIF(H37,{"*EDM*"})),"None of these",IF(H37="","","")))))))</f>
        <v/>
      </c>
      <c r="AD37" t="str">
        <f t="array" ref="AD37">IF(SUM(COUNTIF(H37,{"*Deep*";"*Bass*";"*Slap*"})),"Samples,Synthesizer,Bass Guitar,Piano,Drum Kit,Electric Guitar",IF(SUM(COUNTIF(H37,{"*Lo-Fi*"})),"Samples,Synthesizer,Bass Guitar,Piano,Drum Kit,Electric Guitar",IF(SUM(COUNTIF(H37,{"*Tech*"})),"Samples,Synthesizer,Bass Guitar,Piano,Drum Kit,Electric Guitar",IF(SUM(COUNTIF(H37,{"*Indie/Chill Dance*"})),"Samples,Synthesizer,Bass Guitar,Piano,Drum Kit,Electric Guitar",IF(SUM(COUNTIF(H37,{"*Piano*"})),"Samples,Synthesizer,Bass Guitar,Piano,Drum Kit,Electric Guitar",IF(SUM(COUNTIF(H37,{"*EDM*"})),"Samples,Synthesizer,Bass Guitar,Piano,Drum Kit,Electric Guitar",IF(H37="","","")))))))</f>
        <v/>
      </c>
      <c r="AE37" t="str">
        <f t="array" ref="AE37">IF(N37="Cover","Yes",IF(SUM(COUNTIF(N37,{"*Radio/Extended*";"*Radio*";"*Remix*"})),"No",""))</f>
        <v/>
      </c>
      <c r="AF37" t="str">
        <f t="array" ref="AF37">IF(N37="Remix","Yes",IF(SUM(COUNTIF(N37,{"*Radio/Extended*";"*Radio*";"*Cover*"})),"No",""))</f>
        <v/>
      </c>
      <c r="AG37" t="str">
        <f t="shared" si="19"/>
        <v/>
      </c>
      <c r="AH37" t="str">
        <f t="array" aca="1" ref="AH37" ca="1">+TRIM(SUBSTITUTE(SUBSTITUTE(SUBSTITUTE(SUBSTITUTE(IFERROR(AQ37&amp;" "&amp;+_xlfn.XLOOKUP(((SUM(LEN(AP37))-SUM(LEN(SUBSTITUTE(AP37,",",""))))/LEN(",")+1)&amp;H37,#REF!&amp;#REF!,#REF!)&amp;CHAR(34)&amp;B37&amp;CHAR(34)&amp;"!"&amp;_xlfn.XLOOKUP(H37,#REF!,#REF!&amp;#REF!),""),"Second",AR37),"Third",AS37),"Forth",AT37),"Fifth",AU37&amp;" "))</f>
        <v/>
      </c>
      <c r="AI37" t="str">
        <f t="array" ref="AI37">IF(SUM(COUNTIF(H37,{"*Deep*";"*Bass*";"*Slap*"})),"**Deep House**Progressive House**House**",IF(SUM(COUNTIF(H37,{"*Lo-Fi*"})),"**Lo-Fi Hip Hop**Indie &amp; Lo Fi**Lounge**",IF(SUM(COUNTIF(H37,{"*Tech*"})),"**Tech House**Techno**Future House**",IF(SUM(COUNTIF(H37,{"*Indie/Chill Dance*"})),"**Chill Electronic**Indie Dance**Ambient**",IF(SUM(COUNTIF(H37,{"*Piano*"})),"**Progressive House**House**Dance Pop**",IF(SUM(COUNTIF(H37,{"*EDM*"})),"**Progressive House**House**EDM**",IF(H37="","","")))))))</f>
        <v/>
      </c>
      <c r="AJ37" t="str">
        <f t="shared" si="5"/>
        <v/>
      </c>
      <c r="AK37" t="str">
        <f t="array" ref="AK37">IF(SUM(COUNTIF(H37,{"*Deep*";"*Bass*";"*Slap*"})),"**Tiësto**Imanbek**",IF(SUM(COUNTIF(H37,{"*Lo-Fi*"})),"**L.Dre**Yasumu**",IF(SUM(COUNTIF(H37,{"*Tech*"})),"**Mau P**Gorgon City**",IF(SUM(COUNTIF(H37,{"*Indie/Chill Dance*"})),"**Felix Jaehn**Lost Frequencies**",IF(SUM(COUNTIF(H37,{"*Piano*"})),"**Avicii**Eric Prydz**",IF(SUM(COUNTIF(H37,{"*EDM*"})),"**David Guetta**Swedish House Mafia**",IF(H37="","","")))))))</f>
        <v/>
      </c>
      <c r="AL37" t="str">
        <f t="array" aca="1" ref="AL37" ca="1">+IFERROR(INDEX(INDIRECT((_xlfn.XLOOKUP(H37,map_country[Genre],map_country[country]))),RANK(INDIRECT((_xlfn.XLOOKUP(H37,map_country[Genre],map_country[min+7])),FALSE),INDIRECT((_xlfn.XLOOKUP(H37,map_country[Genre],map_country[rand]))),1)),"")</f>
        <v/>
      </c>
      <c r="AM37" t="str">
        <f t="array" ref="AM37">IF(SUM(COUNTIF(H37,{"*Deep*";"*Bass*";"*Slap*"})),"Cool,Upbeat,Dark",IF(SUM(COUNTIF(H37,{"*Lo-Fi*"})),"Sexy,Relaxing,Romantic",IF(SUM(COUNTIF(H37,{"*Tech*"})),"Cool,Upbeat,Dark",IF(SUM(COUNTIF(H37,{"*Indie/Chill Dance*"})),"Cool,Upbeat,Light",IF(SUM(COUNTIF(H37,{"*Piano*"})),"Cool,Upbeat,Light",IF(SUM(COUNTIF(H37,{"*EDM*"})),"Cool,Upbeat,Happy Mood",IF(H37="","","")))))))</f>
        <v/>
      </c>
      <c r="AN37" t="str">
        <f t="array" ref="AN37">IF(SUM(COUNTIF(H37,{"*Deep*";"*Bass*";"*Slap*"})),"Hard &amp; Heavy,Chilling Out &amp; Lounging,Happy &amp; Upbeat",IF(SUM(COUNTIF(H37,{"*Lo-Fi*"})),"Work, Study &amp; Reading,Chilling Out &amp; Lounging,Relaxed &amp; Laid Back",IF(SUM(COUNTIF(H37,{"*Tech*"})),"Hard &amp; Heavy,Chilling Out &amp; Lounging,Happy &amp; Upbeat",IF(SUM(COUNTIF(H37,{"*Indie/Chill Dance*"})),"Hard &amp; Heavy,Chilling Out &amp; Lounging,Happy &amp; Upbeat",IF(SUM(COUNTIF(H37,{"*Piano*"})),"Hard &amp; Heavy,Chilling Out &amp; Lounging,Happy &amp; Upbeat",IF(SUM(COUNTIF(H37,{"*EDM*"})),"Hard &amp; Heavy,Chilling Out &amp; Lounging,Happy &amp; Upbeat",IF(H37="","","")))))))</f>
        <v/>
      </c>
      <c r="AP37" s="9" t="str">
        <f t="shared" si="20"/>
        <v/>
      </c>
      <c r="AQ37" s="9" t="str">
        <f ca="1">IFERROR(_xlfn.TEXTBEFORE(AP37,","),AP37)</f>
        <v/>
      </c>
      <c r="AR37" s="9" t="str">
        <f ca="1">IFERROR(TRIM(SUBSTITUTE(SUBSTITUTE(SUBSTITUTE(SUBSTITUTE(_xlfn.TEXTAFTER(AP37,",",1),AS37,""),AT37,""),AU37,""),",","")),"")</f>
        <v/>
      </c>
      <c r="AS37" s="9" t="str">
        <f ca="1">IFERROR(SUBSTITUTE(SUBSTITUTE(SUBSTITUTE(_xlfn.TEXTAFTER(AP37,",",2),AT37,""),",",""),AU37,""),"")</f>
        <v/>
      </c>
      <c r="AT37" s="9" t="str">
        <f ca="1">IFERROR(SUBSTITUTE(SUBSTITUTE(_xlfn.TEXTAFTER(AP37,",",3),AU37,""),",",""),"")</f>
        <v/>
      </c>
      <c r="AU37" s="9" t="str">
        <f ca="1">IFERROR(_xlfn.TEXTAFTER(AP37,",",4),"")</f>
        <v/>
      </c>
      <c r="BA37" t="s">
        <v>129</v>
      </c>
      <c r="BB37" t="s">
        <v>56</v>
      </c>
      <c r="BC37">
        <f t="shared" ca="1" si="21"/>
        <v>0.30080432749383512</v>
      </c>
      <c r="BF37" t="s">
        <v>131</v>
      </c>
      <c r="BG37" t="s">
        <v>33</v>
      </c>
      <c r="BH37">
        <f ca="1">+RAND()</f>
        <v>6.3516174678627912E-2</v>
      </c>
      <c r="BK37" t="s">
        <v>129</v>
      </c>
      <c r="BL37" t="s">
        <v>54</v>
      </c>
      <c r="BM37">
        <f t="shared" ca="1" si="22"/>
        <v>0.56569916558166644</v>
      </c>
    </row>
    <row r="38" spans="6:65" x14ac:dyDescent="0.25">
      <c r="F38" s="3"/>
      <c r="H38" s="7"/>
      <c r="P38" t="str">
        <f t="shared" si="15"/>
        <v/>
      </c>
      <c r="Q38" t="str">
        <f t="shared" si="16"/>
        <v/>
      </c>
      <c r="R38" t="str">
        <f t="shared" si="17"/>
        <v/>
      </c>
      <c r="S38" t="str">
        <f t="array" ref="S38">IF(SUM(COUNTIF(H38,{"*Deep*";"*Bass*";"*Slap*"})),"Other:Deep House",IF(SUM(COUNTIF(H38,{"*Lo-Fi*"})),"Other:Lo-Fi",IF(SUM(COUNTIF(H38,{"*Tech*"})),"Other:Tech House",IF(SUM(COUNTIF(H38,{"*Indie/Chill Dance*"})),"Other:Indie/Chill Dance",IF(SUM(COUNTIF(H38,{"*Piano*"})),"Other:Piano House",IF(SUM(COUNTIF(H38,{"*EDM*"})),"edm dance",IF(H38="","","")))))))</f>
        <v/>
      </c>
      <c r="T38" t="str">
        <f t="array" ref="T38">IF(SUM(COUNTIF(H38,{"*Deep*";"*Bass*";"*Slap*"})),"energetic",IF(SUM(COUNTIF(H38,{"*Lo-Fi*"})),"calm",IF(SUM(COUNTIF(H38,{"*Tech*"})),"energetic",IF(SUM(COUNTIF(H38,{"*Indie/Chill Dance*"})),"chillout",IF(SUM(COUNTIF(H38,{"*Piano*"})),"energetic",IF(SUM(COUNTIF(H38,{"*EDM*"})),"energetic",IF(H38="","","")))))))</f>
        <v/>
      </c>
      <c r="U38" t="str">
        <f t="array" ref="U38">IF(SUM(COUNTIF(H38,{"*Tech*";"*EDM*";"*Indie*";"*Deep*";"*Piano*";"*Slap*";"*Brazilian Bass*"})),"Song would perfectly fit in any dance mood playlist! Label will invest up to 5000 EUR advertising on facebook and instagram ads aswell as promoting it over label and label partners playlists, radio stations and press.",IF(SUM(COUNTIF(H38,{"*Lo-Fi*"})),"Song would perfectly fit in any Lo-Fi mood playlist! Label will invest up to 5000 EUR advertising on facebook and instagram ads aswell as promoting it over label and label partners playlists, radio stations and press.",IF(H38="","","")))</f>
        <v/>
      </c>
      <c r="V38" t="str">
        <f t="shared" si="18"/>
        <v/>
      </c>
      <c r="W38" t="str">
        <f t="shared" si="7"/>
        <v/>
      </c>
      <c r="X38" t="str">
        <f t="shared" ref="X38:X71" si="23">IF(L38="Floating Blue Records","Instrumental only",IF(L38="Day Dose Of House","Electronic, Dance, Deep House",""))</f>
        <v/>
      </c>
      <c r="Z38" t="str">
        <f t="array" aca="1" ref="Z38" ca="1">+IFERROR(INDEX(INDIRECT((_xlfn.XLOOKUP(H38,map_location[Genre],map_location[location]))),RANK(INDIRECT((_xlfn.XLOOKUP(H38,map_location[Genre],map_location[MIN+1])),FALSE),INDIRECT((_xlfn.XLOOKUP(H38,map_location[Genre],map_location[rand]))),1)),"")</f>
        <v/>
      </c>
      <c r="AA38" t="str">
        <f t="array" ref="AA38">IF(SUM(COUNTIF(H38,{"*Deep*";"*Bass*";"*Slap*"})),"**Deep House**House**Dance**",IF(SUM(COUNTIF(H38,{"*Lo-Fi*"})),"**Lo-Fi Pop**Lo-Fi Beats**Lo-Fi**",IF(SUM(COUNTIF(H38,{"*Tech*"})),"**Deep House**Tech House**Dance**",IF(SUM(COUNTIF(H38,{"*Indie/Chill Dance*"})),"**Indie Dance**Indie Electronic**Dance Pop**",IF(SUM(COUNTIF(H38,{"*Piano*"})),"**House**Electro house**Melodic House**",IF(SUM(COUNTIF(H38,{"*EDM*"})),"**EDM**Electro house**Dance Pop**",IF(H38="","","")))))))</f>
        <v/>
      </c>
      <c r="AB38" t="str">
        <f t="array" ref="AB38">IF(SUM(COUNTIF(H38,{"*Deep*";"*Bass*";"*Slap*"})),"Energetic,Happy",IF(SUM(COUNTIF(H38,{"*Lo-Fi*"})),"Romantic,Chill",IF(SUM(COUNTIF(H38,{"*Tech*"})),"Energetic,Happy",IF(SUM(COUNTIF(H38,{"*Indie/Chill Dance*"})),"Energetic,Chill",IF(SUM(COUNTIF(H38,{"*Piano*"})),"Energetic,Happy",IF(SUM(COUNTIF(H38,{"*EDM*"})),"Energetic,Happy",IF(H38="","","")))))))</f>
        <v/>
      </c>
      <c r="AC38" t="str">
        <f t="array" ref="AC38">IF(SUM(COUNTIF(H38,{"*Deep*";"*Bass*";"*Slap*"})),"None of these",IF(SUM(COUNTIF(H38,{"*Lo-Fi*"})),"Holiday,Beats",IF(SUM(COUNTIF(H38,{"*Tech*"})),"None of these",IF(SUM(COUNTIF(H38,{"*Indie/Chill Dance*"})),"None of these",IF(SUM(COUNTIF(H38,{"*Piano*"})),"None of these",IF(SUM(COUNTIF(H38,{"*EDM*"})),"None of these",IF(H38="","","")))))))</f>
        <v/>
      </c>
      <c r="AD38" t="str">
        <f t="array" ref="AD38">IF(SUM(COUNTIF(H38,{"*Deep*";"*Bass*";"*Slap*"})),"Samples,Synthesizer,Bass Guitar,Piano,Drum Kit,Electric Guitar",IF(SUM(COUNTIF(H38,{"*Lo-Fi*"})),"Samples,Synthesizer,Bass Guitar,Piano,Drum Kit,Electric Guitar",IF(SUM(COUNTIF(H38,{"*Tech*"})),"Samples,Synthesizer,Bass Guitar,Piano,Drum Kit,Electric Guitar",IF(SUM(COUNTIF(H38,{"*Indie/Chill Dance*"})),"Samples,Synthesizer,Bass Guitar,Piano,Drum Kit,Electric Guitar",IF(SUM(COUNTIF(H38,{"*Piano*"})),"Samples,Synthesizer,Bass Guitar,Piano,Drum Kit,Electric Guitar",IF(SUM(COUNTIF(H38,{"*EDM*"})),"Samples,Synthesizer,Bass Guitar,Piano,Drum Kit,Electric Guitar",IF(H38="","","")))))))</f>
        <v/>
      </c>
      <c r="AE38" t="str">
        <f t="array" ref="AE38">IF(N38="Cover","Yes",IF(SUM(COUNTIF(N38,{"*Radio/Extended*";"*Radio*";"*Remix*"})),"No",""))</f>
        <v/>
      </c>
      <c r="AF38" t="str">
        <f t="array" ref="AF38">IF(N38="Remix","Yes",IF(SUM(COUNTIF(N38,{"*Radio/Extended*";"*Radio*";"*Cover*"})),"No",""))</f>
        <v/>
      </c>
      <c r="AG38" t="str">
        <f t="shared" si="19"/>
        <v/>
      </c>
      <c r="AH38" t="str">
        <f t="array" aca="1" ref="AH38" ca="1">+TRIM(SUBSTITUTE(SUBSTITUTE(SUBSTITUTE(SUBSTITUTE(IFERROR(AQ38&amp;" "&amp;+_xlfn.XLOOKUP(((SUM(LEN(AP38))-SUM(LEN(SUBSTITUTE(AP38,",",""))))/LEN(",")+1)&amp;H38,#REF!&amp;#REF!,#REF!)&amp;CHAR(34)&amp;B38&amp;CHAR(34)&amp;"!"&amp;_xlfn.XLOOKUP(H38,#REF!,#REF!&amp;#REF!),""),"Second",AR38),"Third",AS38),"Forth",AT38),"Fifth",AU38&amp;" "))</f>
        <v/>
      </c>
      <c r="AI38" t="str">
        <f t="array" ref="AI38">IF(SUM(COUNTIF(H38,{"*Deep*";"*Bass*";"*Slap*"})),"**Deep House**Progressive House**House**",IF(SUM(COUNTIF(H38,{"*Lo-Fi*"})),"**Lo-Fi Hip Hop**Indie &amp; Lo Fi**Lounge**",IF(SUM(COUNTIF(H38,{"*Tech*"})),"**Tech House**Techno**Future House**",IF(SUM(COUNTIF(H38,{"*Indie/Chill Dance*"})),"**Chill Electronic**Indie Dance**Ambient**",IF(SUM(COUNTIF(H38,{"*Piano*"})),"**Progressive House**House**Dance Pop**",IF(SUM(COUNTIF(H38,{"*EDM*"})),"**Progressive House**House**EDM**",IF(H38="","","")))))))</f>
        <v/>
      </c>
      <c r="AJ38" t="str">
        <f t="shared" si="5"/>
        <v/>
      </c>
      <c r="AK38" t="str">
        <f t="array" ref="AK38">IF(SUM(COUNTIF(H38,{"*Deep*";"*Bass*";"*Slap*"})),"**Tiësto**Imanbek**",IF(SUM(COUNTIF(H38,{"*Lo-Fi*"})),"**L.Dre**Yasumu**",IF(SUM(COUNTIF(H38,{"*Tech*"})),"**Mau P**Gorgon City**",IF(SUM(COUNTIF(H38,{"*Indie/Chill Dance*"})),"**Felix Jaehn**Lost Frequencies**",IF(SUM(COUNTIF(H38,{"*Piano*"})),"**Avicii**Eric Prydz**",IF(SUM(COUNTIF(H38,{"*EDM*"})),"**David Guetta**Swedish House Mafia**",IF(H38="","","")))))))</f>
        <v/>
      </c>
      <c r="AL38" t="str">
        <f t="array" aca="1" ref="AL38" ca="1">+IFERROR(INDEX(INDIRECT((_xlfn.XLOOKUP(H38,map_country[Genre],map_country[country]))),RANK(INDIRECT((_xlfn.XLOOKUP(H38,map_country[Genre],map_country[min+7])),FALSE),INDIRECT((_xlfn.XLOOKUP(H38,map_country[Genre],map_country[rand]))),1)),"")</f>
        <v/>
      </c>
      <c r="AM38" t="str">
        <f t="array" ref="AM38">IF(SUM(COUNTIF(H38,{"*Deep*";"*Bass*";"*Slap*"})),"Cool,Upbeat,Dark",IF(SUM(COUNTIF(H38,{"*Lo-Fi*"})),"Sexy,Relaxing,Romantic",IF(SUM(COUNTIF(H38,{"*Tech*"})),"Cool,Upbeat,Dark",IF(SUM(COUNTIF(H38,{"*Indie/Chill Dance*"})),"Cool,Upbeat,Light",IF(SUM(COUNTIF(H38,{"*Piano*"})),"Cool,Upbeat,Light",IF(SUM(COUNTIF(H38,{"*EDM*"})),"Cool,Upbeat,Happy Mood",IF(H38="","","")))))))</f>
        <v/>
      </c>
      <c r="AN38" t="str">
        <f t="array" ref="AN38">IF(SUM(COUNTIF(H38,{"*Deep*";"*Bass*";"*Slap*"})),"Hard &amp; Heavy,Chilling Out &amp; Lounging,Happy &amp; Upbeat",IF(SUM(COUNTIF(H38,{"*Lo-Fi*"})),"Work, Study &amp; Reading,Chilling Out &amp; Lounging,Relaxed &amp; Laid Back",IF(SUM(COUNTIF(H38,{"*Tech*"})),"Hard &amp; Heavy,Chilling Out &amp; Lounging,Happy &amp; Upbeat",IF(SUM(COUNTIF(H38,{"*Indie/Chill Dance*"})),"Hard &amp; Heavy,Chilling Out &amp; Lounging,Happy &amp; Upbeat",IF(SUM(COUNTIF(H38,{"*Piano*"})),"Hard &amp; Heavy,Chilling Out &amp; Lounging,Happy &amp; Upbeat",IF(SUM(COUNTIF(H38,{"*EDM*"})),"Hard &amp; Heavy,Chilling Out &amp; Lounging,Happy &amp; Upbeat",IF(H38="","","")))))))</f>
        <v/>
      </c>
      <c r="AP38" s="9" t="str">
        <f t="shared" si="20"/>
        <v/>
      </c>
      <c r="AQ38" s="9" t="str">
        <f ca="1">IFERROR(_xlfn.TEXTBEFORE(AP38,","),AP38)</f>
        <v/>
      </c>
      <c r="AR38" s="9" t="str">
        <f ca="1">IFERROR(TRIM(SUBSTITUTE(SUBSTITUTE(SUBSTITUTE(SUBSTITUTE(_xlfn.TEXTAFTER(AP38,",",1),AS38,""),AT38,""),AU38,""),",","")),"")</f>
        <v/>
      </c>
      <c r="AS38" s="9" t="str">
        <f ca="1">IFERROR(SUBSTITUTE(SUBSTITUTE(SUBSTITUTE(_xlfn.TEXTAFTER(AP38,",",2),AT38,""),",",""),AU38,""),"")</f>
        <v/>
      </c>
      <c r="AT38" s="9" t="str">
        <f ca="1">IFERROR(SUBSTITUTE(SUBSTITUTE(_xlfn.TEXTAFTER(AP38,",",3),AU38,""),",",""),"")</f>
        <v/>
      </c>
      <c r="AU38" s="9" t="str">
        <f ca="1">IFERROR(_xlfn.TEXTAFTER(AP38,",",4),"")</f>
        <v/>
      </c>
      <c r="BA38" t="s">
        <v>130</v>
      </c>
      <c r="BB38" t="s">
        <v>56</v>
      </c>
      <c r="BC38">
        <f t="shared" ca="1" si="21"/>
        <v>0.75493850330238887</v>
      </c>
      <c r="BF38" t="s">
        <v>134</v>
      </c>
      <c r="BG38" t="s">
        <v>33</v>
      </c>
      <c r="BH38">
        <f ca="1">+RAND()</f>
        <v>0.30499197732933525</v>
      </c>
      <c r="BK38" t="s">
        <v>130</v>
      </c>
      <c r="BL38" t="s">
        <v>54</v>
      </c>
      <c r="BM38">
        <f t="shared" ca="1" si="22"/>
        <v>5.7370714164911574E-3</v>
      </c>
    </row>
    <row r="39" spans="6:65" x14ac:dyDescent="0.25">
      <c r="F39" s="3"/>
      <c r="H39" s="7"/>
      <c r="P39" t="str">
        <f t="shared" si="15"/>
        <v/>
      </c>
      <c r="Q39" t="str">
        <f t="shared" si="16"/>
        <v/>
      </c>
      <c r="R39" t="str">
        <f t="shared" si="17"/>
        <v/>
      </c>
      <c r="S39" t="str">
        <f t="array" ref="S39">IF(SUM(COUNTIF(H39,{"*Deep*";"*Bass*";"*Slap*"})),"Other:Deep House",IF(SUM(COUNTIF(H39,{"*Lo-Fi*"})),"Other:Lo-Fi",IF(SUM(COUNTIF(H39,{"*Tech*"})),"Other:Tech House",IF(SUM(COUNTIF(H39,{"*Indie/Chill Dance*"})),"Other:Indie/Chill Dance",IF(SUM(COUNTIF(H39,{"*Piano*"})),"Other:Piano House",IF(SUM(COUNTIF(H39,{"*EDM*"})),"edm dance",IF(H39="","","")))))))</f>
        <v/>
      </c>
      <c r="T39" t="str">
        <f t="array" ref="T39">IF(SUM(COUNTIF(H39,{"*Deep*";"*Bass*";"*Slap*"})),"energetic",IF(SUM(COUNTIF(H39,{"*Lo-Fi*"})),"calm",IF(SUM(COUNTIF(H39,{"*Tech*"})),"energetic",IF(SUM(COUNTIF(H39,{"*Indie/Chill Dance*"})),"chillout",IF(SUM(COUNTIF(H39,{"*Piano*"})),"energetic",IF(SUM(COUNTIF(H39,{"*EDM*"})),"energetic",IF(H39="","","")))))))</f>
        <v/>
      </c>
      <c r="U39" t="str">
        <f t="array" ref="U39">IF(SUM(COUNTIF(H39,{"*Tech*";"*EDM*";"*Indie*";"*Deep*";"*Piano*";"*Slap*";"*Brazilian Bass*"})),"Song would perfectly fit in any dance mood playlist! Label will invest up to 5000 EUR advertising on facebook and instagram ads aswell as promoting it over label and label partners playlists, radio stations and press.",IF(SUM(COUNTIF(H39,{"*Lo-Fi*"})),"Song would perfectly fit in any Lo-Fi mood playlist! Label will invest up to 5000 EUR advertising on facebook and instagram ads aswell as promoting it over label and label partners playlists, radio stations and press.",IF(H39="","","")))</f>
        <v/>
      </c>
      <c r="V39" t="str">
        <f t="shared" si="18"/>
        <v/>
      </c>
      <c r="W39" t="str">
        <f t="shared" si="7"/>
        <v/>
      </c>
      <c r="X39" t="str">
        <f t="shared" si="23"/>
        <v/>
      </c>
      <c r="Z39" t="str">
        <f t="array" aca="1" ref="Z39" ca="1">+IFERROR(INDEX(INDIRECT((_xlfn.XLOOKUP(H39,map_location[Genre],map_location[location]))),RANK(INDIRECT((_xlfn.XLOOKUP(H39,map_location[Genre],map_location[MIN+1])),FALSE),INDIRECT((_xlfn.XLOOKUP(H39,map_location[Genre],map_location[rand]))),1)),"")</f>
        <v/>
      </c>
      <c r="AA39" t="str">
        <f t="array" ref="AA39">IF(SUM(COUNTIF(H39,{"*Deep*";"*Bass*";"*Slap*"})),"**Deep House**House**Dance**",IF(SUM(COUNTIF(H39,{"*Lo-Fi*"})),"**Lo-Fi Pop**Lo-Fi Beats**Lo-Fi**",IF(SUM(COUNTIF(H39,{"*Tech*"})),"**Deep House**Tech House**Dance**",IF(SUM(COUNTIF(H39,{"*Indie/Chill Dance*"})),"**Indie Dance**Indie Electronic**Dance Pop**",IF(SUM(COUNTIF(H39,{"*Piano*"})),"**House**Electro house**Melodic House**",IF(SUM(COUNTIF(H39,{"*EDM*"})),"**EDM**Electro house**Dance Pop**",IF(H39="","","")))))))</f>
        <v/>
      </c>
      <c r="AB39" t="str">
        <f t="array" ref="AB39">IF(SUM(COUNTIF(H39,{"*Deep*";"*Bass*";"*Slap*"})),"Energetic,Happy",IF(SUM(COUNTIF(H39,{"*Lo-Fi*"})),"Romantic,Chill",IF(SUM(COUNTIF(H39,{"*Tech*"})),"Energetic,Happy",IF(SUM(COUNTIF(H39,{"*Indie/Chill Dance*"})),"Energetic,Chill",IF(SUM(COUNTIF(H39,{"*Piano*"})),"Energetic,Happy",IF(SUM(COUNTIF(H39,{"*EDM*"})),"Energetic,Happy",IF(H39="","","")))))))</f>
        <v/>
      </c>
      <c r="AC39" t="str">
        <f t="array" ref="AC39">IF(SUM(COUNTIF(H39,{"*Deep*";"*Bass*";"*Slap*"})),"None of these",IF(SUM(COUNTIF(H39,{"*Lo-Fi*"})),"Holiday,Beats",IF(SUM(COUNTIF(H39,{"*Tech*"})),"None of these",IF(SUM(COUNTIF(H39,{"*Indie/Chill Dance*"})),"None of these",IF(SUM(COUNTIF(H39,{"*Piano*"})),"None of these",IF(SUM(COUNTIF(H39,{"*EDM*"})),"None of these",IF(H39="","","")))))))</f>
        <v/>
      </c>
      <c r="AD39" t="str">
        <f t="array" ref="AD39">IF(SUM(COUNTIF(H39,{"*Deep*";"*Bass*";"*Slap*"})),"Samples,Synthesizer,Bass Guitar,Piano,Drum Kit,Electric Guitar",IF(SUM(COUNTIF(H39,{"*Lo-Fi*"})),"Samples,Synthesizer,Bass Guitar,Piano,Drum Kit,Electric Guitar",IF(SUM(COUNTIF(H39,{"*Tech*"})),"Samples,Synthesizer,Bass Guitar,Piano,Drum Kit,Electric Guitar",IF(SUM(COUNTIF(H39,{"*Indie/Chill Dance*"})),"Samples,Synthesizer,Bass Guitar,Piano,Drum Kit,Electric Guitar",IF(SUM(COUNTIF(H39,{"*Piano*"})),"Samples,Synthesizer,Bass Guitar,Piano,Drum Kit,Electric Guitar",IF(SUM(COUNTIF(H39,{"*EDM*"})),"Samples,Synthesizer,Bass Guitar,Piano,Drum Kit,Electric Guitar",IF(H39="","","")))))))</f>
        <v/>
      </c>
      <c r="AE39" t="str">
        <f t="array" ref="AE39">IF(N39="Cover","Yes",IF(SUM(COUNTIF(N39,{"*Radio/Extended*";"*Radio*";"*Remix*"})),"No",""))</f>
        <v/>
      </c>
      <c r="AF39" t="str">
        <f t="array" ref="AF39">IF(N39="Remix","Yes",IF(SUM(COUNTIF(N39,{"*Radio/Extended*";"*Radio*";"*Cover*"})),"No",""))</f>
        <v/>
      </c>
      <c r="AG39" t="str">
        <f t="shared" si="19"/>
        <v/>
      </c>
      <c r="AH39" t="str">
        <f t="array" aca="1" ref="AH39" ca="1">+TRIM(SUBSTITUTE(SUBSTITUTE(SUBSTITUTE(SUBSTITUTE(IFERROR(AQ39&amp;" "&amp;+_xlfn.XLOOKUP(((SUM(LEN(AP39))-SUM(LEN(SUBSTITUTE(AP39,",",""))))/LEN(",")+1)&amp;H39,#REF!&amp;#REF!,#REF!)&amp;CHAR(34)&amp;B39&amp;CHAR(34)&amp;"!"&amp;_xlfn.XLOOKUP(H39,#REF!,#REF!&amp;#REF!),""),"Second",AR39),"Third",AS39),"Forth",AT39),"Fifth",AU39&amp;" "))</f>
        <v/>
      </c>
      <c r="AI39" t="str">
        <f t="array" ref="AI39">IF(SUM(COUNTIF(H39,{"*Deep*";"*Bass*";"*Slap*"})),"**Deep House**Progressive House**House**",IF(SUM(COUNTIF(H39,{"*Lo-Fi*"})),"**Lo-Fi Hip Hop**Indie &amp; Lo Fi**Lounge**",IF(SUM(COUNTIF(H39,{"*Tech*"})),"**Tech House**Techno**Future House**",IF(SUM(COUNTIF(H39,{"*Indie/Chill Dance*"})),"**Chill Electronic**Indie Dance**Ambient**",IF(SUM(COUNTIF(H39,{"*Piano*"})),"**Progressive House**House**Dance Pop**",IF(SUM(COUNTIF(H39,{"*EDM*"})),"**Progressive House**House**EDM**",IF(H39="","","")))))))</f>
        <v/>
      </c>
      <c r="AJ39" t="str">
        <f t="shared" si="5"/>
        <v/>
      </c>
      <c r="AK39" t="str">
        <f t="array" ref="AK39">IF(SUM(COUNTIF(H39,{"*Deep*";"*Bass*";"*Slap*"})),"**Tiësto**Imanbek**",IF(SUM(COUNTIF(H39,{"*Lo-Fi*"})),"**L.Dre**Yasumu**",IF(SUM(COUNTIF(H39,{"*Tech*"})),"**Mau P**Gorgon City**",IF(SUM(COUNTIF(H39,{"*Indie/Chill Dance*"})),"**Felix Jaehn**Lost Frequencies**",IF(SUM(COUNTIF(H39,{"*Piano*"})),"**Avicii**Eric Prydz**",IF(SUM(COUNTIF(H39,{"*EDM*"})),"**David Guetta**Swedish House Mafia**",IF(H39="","","")))))))</f>
        <v/>
      </c>
      <c r="AL39" t="str">
        <f t="array" aca="1" ref="AL39" ca="1">+IFERROR(INDEX(INDIRECT((_xlfn.XLOOKUP(H39,map_country[Genre],map_country[country]))),RANK(INDIRECT((_xlfn.XLOOKUP(H39,map_country[Genre],map_country[min+7])),FALSE),INDIRECT((_xlfn.XLOOKUP(H39,map_country[Genre],map_country[rand]))),1)),"")</f>
        <v/>
      </c>
      <c r="AM39" t="str">
        <f t="array" ref="AM39">IF(SUM(COUNTIF(H39,{"*Deep*";"*Bass*";"*Slap*"})),"Cool,Upbeat,Dark",IF(SUM(COUNTIF(H39,{"*Lo-Fi*"})),"Sexy,Relaxing,Romantic",IF(SUM(COUNTIF(H39,{"*Tech*"})),"Cool,Upbeat,Dark",IF(SUM(COUNTIF(H39,{"*Indie/Chill Dance*"})),"Cool,Upbeat,Light",IF(SUM(COUNTIF(H39,{"*Piano*"})),"Cool,Upbeat,Light",IF(SUM(COUNTIF(H39,{"*EDM*"})),"Cool,Upbeat,Happy Mood",IF(H39="","","")))))))</f>
        <v/>
      </c>
      <c r="AN39" t="str">
        <f t="array" ref="AN39">IF(SUM(COUNTIF(H39,{"*Deep*";"*Bass*";"*Slap*"})),"Hard &amp; Heavy,Chilling Out &amp; Lounging,Happy &amp; Upbeat",IF(SUM(COUNTIF(H39,{"*Lo-Fi*"})),"Work, Study &amp; Reading,Chilling Out &amp; Lounging,Relaxed &amp; Laid Back",IF(SUM(COUNTIF(H39,{"*Tech*"})),"Hard &amp; Heavy,Chilling Out &amp; Lounging,Happy &amp; Upbeat",IF(SUM(COUNTIF(H39,{"*Indie/Chill Dance*"})),"Hard &amp; Heavy,Chilling Out &amp; Lounging,Happy &amp; Upbeat",IF(SUM(COUNTIF(H39,{"*Piano*"})),"Hard &amp; Heavy,Chilling Out &amp; Lounging,Happy &amp; Upbeat",IF(SUM(COUNTIF(H39,{"*EDM*"})),"Hard &amp; Heavy,Chilling Out &amp; Lounging,Happy &amp; Upbeat",IF(H39="","","")))))))</f>
        <v/>
      </c>
      <c r="AP39" s="9" t="str">
        <f t="shared" si="20"/>
        <v/>
      </c>
      <c r="AQ39" s="9" t="str">
        <f ca="1">IFERROR(_xlfn.TEXTBEFORE(AP39,","),AP39)</f>
        <v/>
      </c>
      <c r="AR39" s="9" t="str">
        <f ca="1">IFERROR(TRIM(SUBSTITUTE(SUBSTITUTE(SUBSTITUTE(SUBSTITUTE(_xlfn.TEXTAFTER(AP39,",",1),AS39,""),AT39,""),AU39,""),",","")),"")</f>
        <v/>
      </c>
      <c r="AS39" s="9" t="str">
        <f ca="1">IFERROR(SUBSTITUTE(SUBSTITUTE(SUBSTITUTE(_xlfn.TEXTAFTER(AP39,",",2),AT39,""),",",""),AU39,""),"")</f>
        <v/>
      </c>
      <c r="AT39" s="9" t="str">
        <f ca="1">IFERROR(SUBSTITUTE(SUBSTITUTE(_xlfn.TEXTAFTER(AP39,",",3),AU39,""),",",""),"")</f>
        <v/>
      </c>
      <c r="AU39" s="9" t="str">
        <f ca="1">IFERROR(_xlfn.TEXTAFTER(AP39,",",4),"")</f>
        <v/>
      </c>
      <c r="BA39" t="s">
        <v>131</v>
      </c>
      <c r="BB39" t="s">
        <v>56</v>
      </c>
      <c r="BC39">
        <f t="shared" ca="1" si="21"/>
        <v>0.22409180945553486</v>
      </c>
      <c r="BF39" t="s">
        <v>137</v>
      </c>
      <c r="BG39" t="s">
        <v>33</v>
      </c>
      <c r="BH39">
        <f ca="1">+RAND()</f>
        <v>0.60893930893342685</v>
      </c>
      <c r="BK39" t="s">
        <v>131</v>
      </c>
      <c r="BL39" t="s">
        <v>54</v>
      </c>
      <c r="BM39">
        <f t="shared" ca="1" si="22"/>
        <v>0.89657704961186468</v>
      </c>
    </row>
    <row r="40" spans="6:65" x14ac:dyDescent="0.25">
      <c r="F40" s="3"/>
      <c r="H40" s="7"/>
      <c r="P40" t="str">
        <f t="shared" si="15"/>
        <v/>
      </c>
      <c r="Q40" t="str">
        <f t="shared" si="16"/>
        <v/>
      </c>
      <c r="R40" t="str">
        <f t="shared" si="17"/>
        <v/>
      </c>
      <c r="S40" t="str">
        <f t="array" ref="S40">IF(SUM(COUNTIF(H40,{"*Deep*";"*Bass*";"*Slap*"})),"Other:Deep House",IF(SUM(COUNTIF(H40,{"*Lo-Fi*"})),"Other:Lo-Fi",IF(SUM(COUNTIF(H40,{"*Tech*"})),"Other:Tech House",IF(SUM(COUNTIF(H40,{"*Indie/Chill Dance*"})),"Other:Indie/Chill Dance",IF(SUM(COUNTIF(H40,{"*Piano*"})),"Other:Piano House",IF(SUM(COUNTIF(H40,{"*EDM*"})),"edm dance",IF(H40="","","")))))))</f>
        <v/>
      </c>
      <c r="T40" t="str">
        <f t="array" ref="T40">IF(SUM(COUNTIF(H40,{"*Deep*";"*Bass*";"*Slap*"})),"energetic",IF(SUM(COUNTIF(H40,{"*Lo-Fi*"})),"calm",IF(SUM(COUNTIF(H40,{"*Tech*"})),"energetic",IF(SUM(COUNTIF(H40,{"*Indie/Chill Dance*"})),"chillout",IF(SUM(COUNTIF(H40,{"*Piano*"})),"energetic",IF(SUM(COUNTIF(H40,{"*EDM*"})),"energetic",IF(H40="","","")))))))</f>
        <v/>
      </c>
      <c r="U40" t="str">
        <f t="array" ref="U40">IF(SUM(COUNTIF(H40,{"*Tech*";"*EDM*";"*Indie*";"*Deep*";"*Piano*";"*Slap*";"*Brazilian Bass*"})),"Song would perfectly fit in any dance mood playlist! Label will invest up to 5000 EUR advertising on facebook and instagram ads aswell as promoting it over label and label partners playlists, radio stations and press.",IF(SUM(COUNTIF(H40,{"*Lo-Fi*"})),"Song would perfectly fit in any Lo-Fi mood playlist! Label will invest up to 5000 EUR advertising on facebook and instagram ads aswell as promoting it over label and label partners playlists, radio stations and press.",IF(H40="","","")))</f>
        <v/>
      </c>
      <c r="V40" t="str">
        <f t="shared" si="18"/>
        <v/>
      </c>
      <c r="W40" t="str">
        <f t="shared" si="7"/>
        <v/>
      </c>
      <c r="X40" t="str">
        <f t="shared" si="23"/>
        <v/>
      </c>
      <c r="Z40" t="str">
        <f t="array" aca="1" ref="Z40" ca="1">+IFERROR(INDEX(INDIRECT((_xlfn.XLOOKUP(H40,map_location[Genre],map_location[location]))),RANK(INDIRECT((_xlfn.XLOOKUP(H40,map_location[Genre],map_location[MIN+1])),FALSE),INDIRECT((_xlfn.XLOOKUP(H40,map_location[Genre],map_location[rand]))),1)),"")</f>
        <v/>
      </c>
      <c r="AA40" t="str">
        <f t="array" ref="AA40">IF(SUM(COUNTIF(H40,{"*Deep*";"*Bass*";"*Slap*"})),"**Deep House**House**Dance**",IF(SUM(COUNTIF(H40,{"*Lo-Fi*"})),"**Lo-Fi Pop**Lo-Fi Beats**Lo-Fi**",IF(SUM(COUNTIF(H40,{"*Tech*"})),"**Deep House**Tech House**Dance**",IF(SUM(COUNTIF(H40,{"*Indie/Chill Dance*"})),"**Indie Dance**Indie Electronic**Dance Pop**",IF(SUM(COUNTIF(H40,{"*Piano*"})),"**House**Electro house**Melodic House**",IF(SUM(COUNTIF(H40,{"*EDM*"})),"**EDM**Electro house**Dance Pop**",IF(H40="","","")))))))</f>
        <v/>
      </c>
      <c r="AB40" t="str">
        <f t="array" ref="AB40">IF(SUM(COUNTIF(H40,{"*Deep*";"*Bass*";"*Slap*"})),"Energetic,Happy",IF(SUM(COUNTIF(H40,{"*Lo-Fi*"})),"Romantic,Chill",IF(SUM(COUNTIF(H40,{"*Tech*"})),"Energetic,Happy",IF(SUM(COUNTIF(H40,{"*Indie/Chill Dance*"})),"Energetic,Chill",IF(SUM(COUNTIF(H40,{"*Piano*"})),"Energetic,Happy",IF(SUM(COUNTIF(H40,{"*EDM*"})),"Energetic,Happy",IF(H40="","","")))))))</f>
        <v/>
      </c>
      <c r="AC40" t="str">
        <f t="array" ref="AC40">IF(SUM(COUNTIF(H40,{"*Deep*";"*Bass*";"*Slap*"})),"None of these",IF(SUM(COUNTIF(H40,{"*Lo-Fi*"})),"Holiday,Beats",IF(SUM(COUNTIF(H40,{"*Tech*"})),"None of these",IF(SUM(COUNTIF(H40,{"*Indie/Chill Dance*"})),"None of these",IF(SUM(COUNTIF(H40,{"*Piano*"})),"None of these",IF(SUM(COUNTIF(H40,{"*EDM*"})),"None of these",IF(H40="","","")))))))</f>
        <v/>
      </c>
      <c r="AD40" t="str">
        <f t="array" ref="AD40">IF(SUM(COUNTIF(H40,{"*Deep*";"*Bass*";"*Slap*"})),"Samples,Synthesizer,Bass Guitar,Piano,Drum Kit,Electric Guitar",IF(SUM(COUNTIF(H40,{"*Lo-Fi*"})),"Samples,Synthesizer,Bass Guitar,Piano,Drum Kit,Electric Guitar",IF(SUM(COUNTIF(H40,{"*Tech*"})),"Samples,Synthesizer,Bass Guitar,Piano,Drum Kit,Electric Guitar",IF(SUM(COUNTIF(H40,{"*Indie/Chill Dance*"})),"Samples,Synthesizer,Bass Guitar,Piano,Drum Kit,Electric Guitar",IF(SUM(COUNTIF(H40,{"*Piano*"})),"Samples,Synthesizer,Bass Guitar,Piano,Drum Kit,Electric Guitar",IF(SUM(COUNTIF(H40,{"*EDM*"})),"Samples,Synthesizer,Bass Guitar,Piano,Drum Kit,Electric Guitar",IF(H40="","","")))))))</f>
        <v/>
      </c>
      <c r="AE40" t="str">
        <f t="array" ref="AE40">IF(N40="Cover","Yes",IF(SUM(COUNTIF(N40,{"*Radio/Extended*";"*Radio*";"*Remix*"})),"No",""))</f>
        <v/>
      </c>
      <c r="AF40" t="str">
        <f t="array" ref="AF40">IF(N40="Remix","Yes",IF(SUM(COUNTIF(N40,{"*Radio/Extended*";"*Radio*";"*Cover*"})),"No",""))</f>
        <v/>
      </c>
      <c r="AG40" t="str">
        <f t="shared" si="19"/>
        <v/>
      </c>
      <c r="AH40" t="str">
        <f t="array" aca="1" ref="AH40" ca="1">+TRIM(SUBSTITUTE(SUBSTITUTE(SUBSTITUTE(SUBSTITUTE(IFERROR(AQ40&amp;" "&amp;+_xlfn.XLOOKUP(((SUM(LEN(AP40))-SUM(LEN(SUBSTITUTE(AP40,",",""))))/LEN(",")+1)&amp;H40,#REF!&amp;#REF!,#REF!)&amp;CHAR(34)&amp;B40&amp;CHAR(34)&amp;"!"&amp;_xlfn.XLOOKUP(H40,#REF!,#REF!&amp;#REF!),""),"Second",AR40),"Third",AS40),"Forth",AT40),"Fifth",AU40&amp;" "))</f>
        <v/>
      </c>
      <c r="AI40" t="str">
        <f t="array" ref="AI40">IF(SUM(COUNTIF(H40,{"*Deep*";"*Bass*";"*Slap*"})),"**Deep House**Progressive House**House**",IF(SUM(COUNTIF(H40,{"*Lo-Fi*"})),"**Lo-Fi Hip Hop**Indie &amp; Lo Fi**Lounge**",IF(SUM(COUNTIF(H40,{"*Tech*"})),"**Tech House**Techno**Future House**",IF(SUM(COUNTIF(H40,{"*Indie/Chill Dance*"})),"**Chill Electronic**Indie Dance**Ambient**",IF(SUM(COUNTIF(H40,{"*Piano*"})),"**Progressive House**House**Dance Pop**",IF(SUM(COUNTIF(H40,{"*EDM*"})),"**Progressive House**House**EDM**",IF(H40="","","")))))))</f>
        <v/>
      </c>
      <c r="AJ40" t="str">
        <f t="shared" si="5"/>
        <v/>
      </c>
      <c r="AK40" t="str">
        <f t="array" ref="AK40">IF(SUM(COUNTIF(H40,{"*Deep*";"*Bass*";"*Slap*"})),"**Tiësto**Imanbek**",IF(SUM(COUNTIF(H40,{"*Lo-Fi*"})),"**L.Dre**Yasumu**",IF(SUM(COUNTIF(H40,{"*Tech*"})),"**Mau P**Gorgon City**",IF(SUM(COUNTIF(H40,{"*Indie/Chill Dance*"})),"**Felix Jaehn**Lost Frequencies**",IF(SUM(COUNTIF(H40,{"*Piano*"})),"**Avicii**Eric Prydz**",IF(SUM(COUNTIF(H40,{"*EDM*"})),"**David Guetta**Swedish House Mafia**",IF(H40="","","")))))))</f>
        <v/>
      </c>
      <c r="AL40" t="str">
        <f t="array" aca="1" ref="AL40" ca="1">+IFERROR(INDEX(INDIRECT((_xlfn.XLOOKUP(H40,map_country[Genre],map_country[country]))),RANK(INDIRECT((_xlfn.XLOOKUP(H40,map_country[Genre],map_country[min+7])),FALSE),INDIRECT((_xlfn.XLOOKUP(H40,map_country[Genre],map_country[rand]))),1)),"")</f>
        <v/>
      </c>
      <c r="AM40" t="str">
        <f t="array" ref="AM40">IF(SUM(COUNTIF(H40,{"*Deep*";"*Bass*";"*Slap*"})),"Cool,Upbeat,Dark",IF(SUM(COUNTIF(H40,{"*Lo-Fi*"})),"Sexy,Relaxing,Romantic",IF(SUM(COUNTIF(H40,{"*Tech*"})),"Cool,Upbeat,Dark",IF(SUM(COUNTIF(H40,{"*Indie/Chill Dance*"})),"Cool,Upbeat,Light",IF(SUM(COUNTIF(H40,{"*Piano*"})),"Cool,Upbeat,Light",IF(SUM(COUNTIF(H40,{"*EDM*"})),"Cool,Upbeat,Happy Mood",IF(H40="","","")))))))</f>
        <v/>
      </c>
      <c r="AN40" t="str">
        <f t="array" ref="AN40">IF(SUM(COUNTIF(H40,{"*Deep*";"*Bass*";"*Slap*"})),"Hard &amp; Heavy,Chilling Out &amp; Lounging,Happy &amp; Upbeat",IF(SUM(COUNTIF(H40,{"*Lo-Fi*"})),"Work, Study &amp; Reading,Chilling Out &amp; Lounging,Relaxed &amp; Laid Back",IF(SUM(COUNTIF(H40,{"*Tech*"})),"Hard &amp; Heavy,Chilling Out &amp; Lounging,Happy &amp; Upbeat",IF(SUM(COUNTIF(H40,{"*Indie/Chill Dance*"})),"Hard &amp; Heavy,Chilling Out &amp; Lounging,Happy &amp; Upbeat",IF(SUM(COUNTIF(H40,{"*Piano*"})),"Hard &amp; Heavy,Chilling Out &amp; Lounging,Happy &amp; Upbeat",IF(SUM(COUNTIF(H40,{"*EDM*"})),"Hard &amp; Heavy,Chilling Out &amp; Lounging,Happy &amp; Upbeat",IF(H40="","","")))))))</f>
        <v/>
      </c>
      <c r="AP40" s="9" t="str">
        <f t="shared" si="20"/>
        <v/>
      </c>
      <c r="AQ40" s="9" t="str">
        <f ca="1">IFERROR(_xlfn.TEXTBEFORE(AP40,","),AP40)</f>
        <v/>
      </c>
      <c r="AR40" s="9" t="str">
        <f ca="1">IFERROR(TRIM(SUBSTITUTE(SUBSTITUTE(SUBSTITUTE(SUBSTITUTE(_xlfn.TEXTAFTER(AP40,",",1),AS40,""),AT40,""),AU40,""),",","")),"")</f>
        <v/>
      </c>
      <c r="AS40" s="9" t="str">
        <f ca="1">IFERROR(SUBSTITUTE(SUBSTITUTE(SUBSTITUTE(_xlfn.TEXTAFTER(AP40,",",2),AT40,""),",",""),AU40,""),"")</f>
        <v/>
      </c>
      <c r="AT40" s="9" t="str">
        <f ca="1">IFERROR(SUBSTITUTE(SUBSTITUTE(_xlfn.TEXTAFTER(AP40,",",3),AU40,""),",",""),"")</f>
        <v/>
      </c>
      <c r="AU40" s="9" t="str">
        <f ca="1">IFERROR(_xlfn.TEXTAFTER(AP40,",",4),"")</f>
        <v/>
      </c>
      <c r="BA40" t="s">
        <v>132</v>
      </c>
      <c r="BB40" t="s">
        <v>56</v>
      </c>
      <c r="BC40">
        <f t="shared" ca="1" si="21"/>
        <v>0.44339229216329812</v>
      </c>
      <c r="BK40" t="s">
        <v>132</v>
      </c>
      <c r="BL40" t="s">
        <v>54</v>
      </c>
      <c r="BM40">
        <f t="shared" ca="1" si="22"/>
        <v>0.77888090458259718</v>
      </c>
    </row>
    <row r="41" spans="6:65" x14ac:dyDescent="0.25">
      <c r="F41" s="3"/>
      <c r="H41" s="7"/>
      <c r="P41" t="str">
        <f t="shared" si="15"/>
        <v/>
      </c>
      <c r="Q41" t="str">
        <f t="shared" si="16"/>
        <v/>
      </c>
      <c r="R41" t="str">
        <f t="shared" si="17"/>
        <v/>
      </c>
      <c r="S41" t="str">
        <f t="array" ref="S41">IF(SUM(COUNTIF(H41,{"*Deep*";"*Bass*";"*Slap*"})),"Other:Deep House",IF(SUM(COUNTIF(H41,{"*Lo-Fi*"})),"Other:Lo-Fi",IF(SUM(COUNTIF(H41,{"*Tech*"})),"Other:Tech House",IF(SUM(COUNTIF(H41,{"*Indie/Chill Dance*"})),"Other:Indie/Chill Dance",IF(SUM(COUNTIF(H41,{"*Piano*"})),"Other:Piano House",IF(SUM(COUNTIF(H41,{"*EDM*"})),"edm dance",IF(H41="","","")))))))</f>
        <v/>
      </c>
      <c r="T41" t="str">
        <f t="array" ref="T41">IF(SUM(COUNTIF(H41,{"*Deep*";"*Bass*";"*Slap*"})),"energetic",IF(SUM(COUNTIF(H41,{"*Lo-Fi*"})),"calm",IF(SUM(COUNTIF(H41,{"*Tech*"})),"energetic",IF(SUM(COUNTIF(H41,{"*Indie/Chill Dance*"})),"chillout",IF(SUM(COUNTIF(H41,{"*Piano*"})),"energetic",IF(SUM(COUNTIF(H41,{"*EDM*"})),"energetic",IF(H41="","","")))))))</f>
        <v/>
      </c>
      <c r="U41" t="str">
        <f t="array" ref="U41">IF(SUM(COUNTIF(H41,{"*Tech*";"*EDM*";"*Indie*";"*Deep*";"*Piano*";"*Slap*";"*Brazilian Bass*"})),"Song would perfectly fit in any dance mood playlist! Label will invest up to 5000 EUR advertising on facebook and instagram ads aswell as promoting it over label and label partners playlists, radio stations and press.",IF(SUM(COUNTIF(H41,{"*Lo-Fi*"})),"Song would perfectly fit in any Lo-Fi mood playlist! Label will invest up to 5000 EUR advertising on facebook and instagram ads aswell as promoting it over label and label partners playlists, radio stations and press.",IF(H41="","","")))</f>
        <v/>
      </c>
      <c r="V41" t="str">
        <f t="shared" si="18"/>
        <v/>
      </c>
      <c r="W41" t="str">
        <f t="shared" si="7"/>
        <v/>
      </c>
      <c r="X41" t="str">
        <f t="shared" si="23"/>
        <v/>
      </c>
      <c r="Z41" t="str">
        <f t="array" aca="1" ref="Z41" ca="1">+IFERROR(INDEX(INDIRECT((_xlfn.XLOOKUP(H41,map_location[Genre],map_location[location]))),RANK(INDIRECT((_xlfn.XLOOKUP(H41,map_location[Genre],map_location[MIN+2])),FALSE),INDIRECT((_xlfn.XLOOKUP(H41,map_location[Genre],map_location[rand]))),1)),"")</f>
        <v/>
      </c>
      <c r="AA41" t="str">
        <f t="array" ref="AA41">IF(SUM(COUNTIF(H41,{"*Deep*";"*Bass*";"*Slap*"})),"**Deep House**House**Dance**",IF(SUM(COUNTIF(H41,{"*Lo-Fi*"})),"**Lo-Fi Pop**Lo-Fi Beats**Lo-Fi**",IF(SUM(COUNTIF(H41,{"*Tech*"})),"**Deep House**Tech House**Dance**",IF(SUM(COUNTIF(H41,{"*Indie/Chill Dance*"})),"**Indie Dance**Indie Electronic**Dance Pop**",IF(SUM(COUNTIF(H41,{"*Piano*"})),"**House**Electro house**Melodic House**",IF(SUM(COUNTIF(H41,{"*EDM*"})),"**EDM**Electro house**Dance Pop**",IF(H41="","","")))))))</f>
        <v/>
      </c>
      <c r="AB41" t="str">
        <f t="array" ref="AB41">IF(SUM(COUNTIF(H41,{"*Deep*";"*Bass*";"*Slap*"})),"Energetic,Happy",IF(SUM(COUNTIF(H41,{"*Lo-Fi*"})),"Romantic,Chill",IF(SUM(COUNTIF(H41,{"*Tech*"})),"Energetic,Happy",IF(SUM(COUNTIF(H41,{"*Indie/Chill Dance*"})),"Energetic,Chill",IF(SUM(COUNTIF(H41,{"*Piano*"})),"Energetic,Happy",IF(SUM(COUNTIF(H41,{"*EDM*"})),"Energetic,Happy",IF(H41="","","")))))))</f>
        <v/>
      </c>
      <c r="AC41" t="str">
        <f t="array" ref="AC41">IF(SUM(COUNTIF(H41,{"*Deep*";"*Bass*";"*Slap*"})),"None of these",IF(SUM(COUNTIF(H41,{"*Lo-Fi*"})),"Holiday,Beats",IF(SUM(COUNTIF(H41,{"*Tech*"})),"None of these",IF(SUM(COUNTIF(H41,{"*Indie/Chill Dance*"})),"None of these",IF(SUM(COUNTIF(H41,{"*Piano*"})),"None of these",IF(SUM(COUNTIF(H41,{"*EDM*"})),"None of these",IF(H41="","","")))))))</f>
        <v/>
      </c>
      <c r="AD41" t="str">
        <f t="array" ref="AD41">IF(SUM(COUNTIF(H41,{"*Deep*";"*Bass*";"*Slap*"})),"Samples,Synthesizer,Bass Guitar,Piano,Drum Kit,Electric Guitar",IF(SUM(COUNTIF(H41,{"*Lo-Fi*"})),"Samples,Synthesizer,Bass Guitar,Piano,Drum Kit,Electric Guitar",IF(SUM(COUNTIF(H41,{"*Tech*"})),"Samples,Synthesizer,Bass Guitar,Piano,Drum Kit,Electric Guitar",IF(SUM(COUNTIF(H41,{"*Indie/Chill Dance*"})),"Samples,Synthesizer,Bass Guitar,Piano,Drum Kit,Electric Guitar",IF(SUM(COUNTIF(H41,{"*Piano*"})),"Samples,Synthesizer,Bass Guitar,Piano,Drum Kit,Electric Guitar",IF(SUM(COUNTIF(H41,{"*EDM*"})),"Samples,Synthesizer,Bass Guitar,Piano,Drum Kit,Electric Guitar",IF(H41="","","")))))))</f>
        <v/>
      </c>
      <c r="AE41" t="str">
        <f t="array" ref="AE41">IF(N41="Cover","Yes",IF(SUM(COUNTIF(N41,{"*Radio/Extended*";"*Radio*";"*Remix*"})),"No",""))</f>
        <v/>
      </c>
      <c r="AF41" t="str">
        <f t="array" ref="AF41">IF(N41="Remix","Yes",IF(SUM(COUNTIF(N41,{"*Radio/Extended*";"*Radio*";"*Cover*"})),"No",""))</f>
        <v/>
      </c>
      <c r="AG41" t="str">
        <f t="shared" si="19"/>
        <v/>
      </c>
      <c r="AH41" t="str">
        <f t="array" aca="1" ref="AH41" ca="1">+TRIM(SUBSTITUTE(SUBSTITUTE(SUBSTITUTE(SUBSTITUTE(IFERROR(AQ41&amp;" "&amp;+_xlfn.XLOOKUP(((SUM(LEN(AP41))-SUM(LEN(SUBSTITUTE(AP41,",",""))))/LEN(",")+1)&amp;H41,#REF!&amp;#REF!,#REF!)&amp;CHAR(34)&amp;B41&amp;CHAR(34)&amp;"!"&amp;_xlfn.XLOOKUP(H41,#REF!,#REF!&amp;#REF!),""),"Second",AR41),"Third",AS41),"Forth",AT41),"Fifth",AU41&amp;" "))</f>
        <v/>
      </c>
      <c r="AI41" t="str">
        <f t="array" ref="AI41">IF(SUM(COUNTIF(H41,{"*Deep*";"*Bass*";"*Slap*"})),"**Deep House**Progressive House**House**",IF(SUM(COUNTIF(H41,{"*Lo-Fi*"})),"**Lo-Fi Hip Hop**Indie &amp; Lo Fi**Lounge**",IF(SUM(COUNTIF(H41,{"*Tech*"})),"**Tech House**Techno**Future House**",IF(SUM(COUNTIF(H41,{"*Indie/Chill Dance*"})),"**Chill Electronic**Indie Dance**Ambient**",IF(SUM(COUNTIF(H41,{"*Piano*"})),"**Progressive House**House**Dance Pop**",IF(SUM(COUNTIF(H41,{"*EDM*"})),"**Progressive House**House**EDM**",IF(H41="","","")))))))</f>
        <v/>
      </c>
      <c r="AJ41" t="str">
        <f t="shared" si="5"/>
        <v/>
      </c>
      <c r="AK41" t="str">
        <f t="array" ref="AK41">IF(SUM(COUNTIF(H41,{"*Deep*";"*Bass*";"*Slap*"})),"**Tiësto**Imanbek**",IF(SUM(COUNTIF(H41,{"*Lo-Fi*"})),"**L.Dre**Yasumu**",IF(SUM(COUNTIF(H41,{"*Tech*"})),"**Mau P**Gorgon City**",IF(SUM(COUNTIF(H41,{"*Indie/Chill Dance*"})),"**Felix Jaehn**Lost Frequencies**",IF(SUM(COUNTIF(H41,{"*Piano*"})),"**Avicii**Eric Prydz**",IF(SUM(COUNTIF(H41,{"*EDM*"})),"**David Guetta**Swedish House Mafia**",IF(H41="","","")))))))</f>
        <v/>
      </c>
      <c r="AL41" t="str">
        <f t="array" aca="1" ref="AL41" ca="1">+IFERROR(INDEX(INDIRECT((_xlfn.XLOOKUP(H41,map_country[Genre],map_country[country]))),RANK(INDIRECT((_xlfn.XLOOKUP(H41,map_country[Genre],map_country[min+8])),FALSE),INDIRECT((_xlfn.XLOOKUP(H41,map_country[Genre],map_country[rand]))),1)),"")</f>
        <v/>
      </c>
      <c r="AM41" t="str">
        <f t="array" ref="AM41">IF(SUM(COUNTIF(H41,{"*Deep*";"*Bass*";"*Slap*"})),"Cool,Upbeat,Dark",IF(SUM(COUNTIF(H41,{"*Lo-Fi*"})),"Sexy,Relaxing,Romantic",IF(SUM(COUNTIF(H41,{"*Tech*"})),"Cool,Upbeat,Dark",IF(SUM(COUNTIF(H41,{"*Indie/Chill Dance*"})),"Cool,Upbeat,Light",IF(SUM(COUNTIF(H41,{"*Piano*"})),"Cool,Upbeat,Light",IF(SUM(COUNTIF(H41,{"*EDM*"})),"Cool,Upbeat,Happy Mood",IF(H41="","","")))))))</f>
        <v/>
      </c>
      <c r="AN41" t="str">
        <f t="array" ref="AN41">IF(SUM(COUNTIF(H41,{"*Deep*";"*Bass*";"*Slap*"})),"Hard &amp; Heavy,Chilling Out &amp; Lounging,Happy &amp; Upbeat",IF(SUM(COUNTIF(H41,{"*Lo-Fi*"})),"Work, Study &amp; Reading,Chilling Out &amp; Lounging,Relaxed &amp; Laid Back",IF(SUM(COUNTIF(H41,{"*Tech*"})),"Hard &amp; Heavy,Chilling Out &amp; Lounging,Happy &amp; Upbeat",IF(SUM(COUNTIF(H41,{"*Indie/Chill Dance*"})),"Hard &amp; Heavy,Chilling Out &amp; Lounging,Happy &amp; Upbeat",IF(SUM(COUNTIF(H41,{"*Piano*"})),"Hard &amp; Heavy,Chilling Out &amp; Lounging,Happy &amp; Upbeat",IF(SUM(COUNTIF(H41,{"*EDM*"})),"Hard &amp; Heavy,Chilling Out &amp; Lounging,Happy &amp; Upbeat",IF(H41="","","")))))))</f>
        <v/>
      </c>
      <c r="AP41" s="9" t="str">
        <f t="shared" si="20"/>
        <v/>
      </c>
      <c r="AQ41" s="9" t="str">
        <f ca="1">IFERROR(_xlfn.TEXTBEFORE(AP41,","),AP41)</f>
        <v/>
      </c>
      <c r="AR41" s="9" t="str">
        <f ca="1">IFERROR(TRIM(SUBSTITUTE(SUBSTITUTE(SUBSTITUTE(SUBSTITUTE(_xlfn.TEXTAFTER(AP41,",",1),AS41,""),AT41,""),AU41,""),",","")),"")</f>
        <v/>
      </c>
      <c r="AS41" s="9" t="str">
        <f ca="1">IFERROR(SUBSTITUTE(SUBSTITUTE(SUBSTITUTE(_xlfn.TEXTAFTER(AP41,",",2),AT41,""),",",""),AU41,""),"")</f>
        <v/>
      </c>
      <c r="AT41" s="9" t="str">
        <f ca="1">IFERROR(SUBSTITUTE(SUBSTITUTE(_xlfn.TEXTAFTER(AP41,",",3),AU41,""),",",""),"")</f>
        <v/>
      </c>
      <c r="AU41" s="9" t="str">
        <f ca="1">IFERROR(_xlfn.TEXTAFTER(AP41,",",4),"")</f>
        <v/>
      </c>
      <c r="BA41" t="s">
        <v>133</v>
      </c>
      <c r="BB41" t="s">
        <v>56</v>
      </c>
      <c r="BC41">
        <f t="shared" ca="1" si="21"/>
        <v>0.53034988975418706</v>
      </c>
      <c r="BK41" t="s">
        <v>133</v>
      </c>
      <c r="BL41" t="s">
        <v>54</v>
      </c>
      <c r="BM41">
        <f t="shared" ca="1" si="22"/>
        <v>0.47830543489267729</v>
      </c>
    </row>
    <row r="42" spans="6:65" x14ac:dyDescent="0.25">
      <c r="F42" s="3"/>
      <c r="H42" s="7"/>
      <c r="P42" t="str">
        <f t="shared" si="15"/>
        <v/>
      </c>
      <c r="Q42" t="str">
        <f t="shared" si="16"/>
        <v/>
      </c>
      <c r="R42" t="str">
        <f t="shared" si="17"/>
        <v/>
      </c>
      <c r="S42" t="str">
        <f t="array" ref="S42">IF(SUM(COUNTIF(H42,{"*Deep*";"*Bass*";"*Slap*"})),"Other:Deep House",IF(SUM(COUNTIF(H42,{"*Lo-Fi*"})),"Other:Lo-Fi",IF(SUM(COUNTIF(H42,{"*Tech*"})),"Other:Tech House",IF(SUM(COUNTIF(H42,{"*Indie/Chill Dance*"})),"Other:Indie/Chill Dance",IF(SUM(COUNTIF(H42,{"*Piano*"})),"Other:Piano House",IF(SUM(COUNTIF(H42,{"*EDM*"})),"edm dance",IF(H42="","","")))))))</f>
        <v/>
      </c>
      <c r="T42" t="str">
        <f t="array" ref="T42">IF(SUM(COUNTIF(H42,{"*Deep*";"*Bass*";"*Slap*"})),"energetic",IF(SUM(COUNTIF(H42,{"*Lo-Fi*"})),"calm",IF(SUM(COUNTIF(H42,{"*Tech*"})),"energetic",IF(SUM(COUNTIF(H42,{"*Indie/Chill Dance*"})),"chillout",IF(SUM(COUNTIF(H42,{"*Piano*"})),"energetic",IF(SUM(COUNTIF(H42,{"*EDM*"})),"energetic",IF(H42="","","")))))))</f>
        <v/>
      </c>
      <c r="U42" t="str">
        <f t="array" ref="U42">IF(SUM(COUNTIF(H42,{"*Tech*";"*EDM*";"*Indie*";"*Deep*";"*Piano*";"*Slap*";"*Brazilian Bass*"})),"Song would perfectly fit in any dance mood playlist! Label will invest up to 5000 EUR advertising on facebook and instagram ads aswell as promoting it over label and label partners playlists, radio stations and press.",IF(SUM(COUNTIF(H42,{"*Lo-Fi*"})),"Song would perfectly fit in any Lo-Fi mood playlist! Label will invest up to 5000 EUR advertising on facebook and instagram ads aswell as promoting it over label and label partners playlists, radio stations and press.",IF(H42="","","")))</f>
        <v/>
      </c>
      <c r="V42" t="str">
        <f t="shared" si="18"/>
        <v/>
      </c>
      <c r="W42" t="str">
        <f t="shared" si="7"/>
        <v/>
      </c>
      <c r="X42" t="str">
        <f t="shared" si="23"/>
        <v/>
      </c>
      <c r="Z42" t="str">
        <f t="array" aca="1" ref="Z42" ca="1">+IFERROR(INDEX(INDIRECT((_xlfn.XLOOKUP(H42,map_location[Genre],map_location[location]))),RANK(INDIRECT((_xlfn.XLOOKUP(H42,map_location[Genre],map_location[MIN+2])),FALSE),INDIRECT((_xlfn.XLOOKUP(H42,map_location[Genre],map_location[rand]))),1)),"")</f>
        <v/>
      </c>
      <c r="AA42" t="str">
        <f t="array" ref="AA42">IF(SUM(COUNTIF(H42,{"*Deep*";"*Bass*";"*Slap*"})),"**Deep House**House**Dance**",IF(SUM(COUNTIF(H42,{"*Lo-Fi*"})),"**Lo-Fi Pop**Lo-Fi Beats**Lo-Fi**",IF(SUM(COUNTIF(H42,{"*Tech*"})),"**Deep House**Tech House**Dance**",IF(SUM(COUNTIF(H42,{"*Indie/Chill Dance*"})),"**Indie Dance**Indie Electronic**Dance Pop**",IF(SUM(COUNTIF(H42,{"*Piano*"})),"**House**Electro house**Melodic House**",IF(SUM(COUNTIF(H42,{"*EDM*"})),"**EDM**Electro house**Dance Pop**",IF(H42="","","")))))))</f>
        <v/>
      </c>
      <c r="AB42" t="str">
        <f t="array" ref="AB42">IF(SUM(COUNTIF(H42,{"*Deep*";"*Bass*";"*Slap*"})),"Energetic,Happy",IF(SUM(COUNTIF(H42,{"*Lo-Fi*"})),"Romantic,Chill",IF(SUM(COUNTIF(H42,{"*Tech*"})),"Energetic,Happy",IF(SUM(COUNTIF(H42,{"*Indie/Chill Dance*"})),"Energetic,Chill",IF(SUM(COUNTIF(H42,{"*Piano*"})),"Energetic,Happy",IF(SUM(COUNTIF(H42,{"*EDM*"})),"Energetic,Happy",IF(H42="","","")))))))</f>
        <v/>
      </c>
      <c r="AC42" t="str">
        <f t="array" ref="AC42">IF(SUM(COUNTIF(H42,{"*Deep*";"*Bass*";"*Slap*"})),"None of these",IF(SUM(COUNTIF(H42,{"*Lo-Fi*"})),"Holiday,Beats",IF(SUM(COUNTIF(H42,{"*Tech*"})),"None of these",IF(SUM(COUNTIF(H42,{"*Indie/Chill Dance*"})),"None of these",IF(SUM(COUNTIF(H42,{"*Piano*"})),"None of these",IF(SUM(COUNTIF(H42,{"*EDM*"})),"None of these",IF(H42="","","")))))))</f>
        <v/>
      </c>
      <c r="AD42" t="str">
        <f t="array" ref="AD42">IF(SUM(COUNTIF(H42,{"*Deep*";"*Bass*";"*Slap*"})),"Samples,Synthesizer,Bass Guitar,Piano,Drum Kit,Electric Guitar",IF(SUM(COUNTIF(H42,{"*Lo-Fi*"})),"Samples,Synthesizer,Bass Guitar,Piano,Drum Kit,Electric Guitar",IF(SUM(COUNTIF(H42,{"*Tech*"})),"Samples,Synthesizer,Bass Guitar,Piano,Drum Kit,Electric Guitar",IF(SUM(COUNTIF(H42,{"*Indie/Chill Dance*"})),"Samples,Synthesizer,Bass Guitar,Piano,Drum Kit,Electric Guitar",IF(SUM(COUNTIF(H42,{"*Piano*"})),"Samples,Synthesizer,Bass Guitar,Piano,Drum Kit,Electric Guitar",IF(SUM(COUNTIF(H42,{"*EDM*"})),"Samples,Synthesizer,Bass Guitar,Piano,Drum Kit,Electric Guitar",IF(H42="","","")))))))</f>
        <v/>
      </c>
      <c r="AE42" t="str">
        <f t="array" ref="AE42">IF(N42="Cover","Yes",IF(SUM(COUNTIF(N42,{"*Radio/Extended*";"*Radio*";"*Remix*"})),"No",""))</f>
        <v/>
      </c>
      <c r="AF42" t="str">
        <f t="array" ref="AF42">IF(N42="Remix","Yes",IF(SUM(COUNTIF(N42,{"*Radio/Extended*";"*Radio*";"*Cover*"})),"No",""))</f>
        <v/>
      </c>
      <c r="AG42" t="str">
        <f t="shared" si="19"/>
        <v/>
      </c>
      <c r="AH42" t="str">
        <f t="array" aca="1" ref="AH42" ca="1">+TRIM(SUBSTITUTE(SUBSTITUTE(SUBSTITUTE(SUBSTITUTE(IFERROR(AQ42&amp;" "&amp;+_xlfn.XLOOKUP(((SUM(LEN(AP42))-SUM(LEN(SUBSTITUTE(AP42,",",""))))/LEN(",")+1)&amp;H42,#REF!&amp;#REF!,#REF!)&amp;CHAR(34)&amp;B42&amp;CHAR(34)&amp;"!"&amp;_xlfn.XLOOKUP(H42,#REF!,#REF!&amp;#REF!),""),"Second",AR42),"Third",AS42),"Forth",AT42),"Fifth",AU42&amp;" "))</f>
        <v/>
      </c>
      <c r="AI42" t="str">
        <f t="array" ref="AI42">IF(SUM(COUNTIF(H42,{"*Deep*";"*Bass*";"*Slap*"})),"**Deep House**Progressive House**House**",IF(SUM(COUNTIF(H42,{"*Lo-Fi*"})),"**Lo-Fi Hip Hop**Indie &amp; Lo Fi**Lounge**",IF(SUM(COUNTIF(H42,{"*Tech*"})),"**Tech House**Techno**Future House**",IF(SUM(COUNTIF(H42,{"*Indie/Chill Dance*"})),"**Chill Electronic**Indie Dance**Ambient**",IF(SUM(COUNTIF(H42,{"*Piano*"})),"**Progressive House**House**Dance Pop**",IF(SUM(COUNTIF(H42,{"*EDM*"})),"**Progressive House**House**EDM**",IF(H42="","","")))))))</f>
        <v/>
      </c>
      <c r="AJ42" t="str">
        <f t="shared" si="5"/>
        <v/>
      </c>
      <c r="AK42" t="str">
        <f t="array" ref="AK42">IF(SUM(COUNTIF(H42,{"*Deep*";"*Bass*";"*Slap*"})),"**Tiësto**Imanbek**",IF(SUM(COUNTIF(H42,{"*Lo-Fi*"})),"**L.Dre**Yasumu**",IF(SUM(COUNTIF(H42,{"*Tech*"})),"**Mau P**Gorgon City**",IF(SUM(COUNTIF(H42,{"*Indie/Chill Dance*"})),"**Felix Jaehn**Lost Frequencies**",IF(SUM(COUNTIF(H42,{"*Piano*"})),"**Avicii**Eric Prydz**",IF(SUM(COUNTIF(H42,{"*EDM*"})),"**David Guetta**Swedish House Mafia**",IF(H42="","","")))))))</f>
        <v/>
      </c>
      <c r="AL42" t="str">
        <f t="array" aca="1" ref="AL42" ca="1">+IFERROR(INDEX(INDIRECT((_xlfn.XLOOKUP(H42,map_country[Genre],map_country[country]))),RANK(INDIRECT((_xlfn.XLOOKUP(H42,map_country[Genre],map_country[min+8])),FALSE),INDIRECT((_xlfn.XLOOKUP(H42,map_country[Genre],map_country[rand]))),1)),"")</f>
        <v/>
      </c>
      <c r="AM42" t="str">
        <f t="array" ref="AM42">IF(SUM(COUNTIF(H42,{"*Deep*";"*Bass*";"*Slap*"})),"Cool,Upbeat,Dark",IF(SUM(COUNTIF(H42,{"*Lo-Fi*"})),"Sexy,Relaxing,Romantic",IF(SUM(COUNTIF(H42,{"*Tech*"})),"Cool,Upbeat,Dark",IF(SUM(COUNTIF(H42,{"*Indie/Chill Dance*"})),"Cool,Upbeat,Light",IF(SUM(COUNTIF(H42,{"*Piano*"})),"Cool,Upbeat,Light",IF(SUM(COUNTIF(H42,{"*EDM*"})),"Cool,Upbeat,Happy Mood",IF(H42="","","")))))))</f>
        <v/>
      </c>
      <c r="AN42" t="str">
        <f t="array" ref="AN42">IF(SUM(COUNTIF(H42,{"*Deep*";"*Bass*";"*Slap*"})),"Hard &amp; Heavy,Chilling Out &amp; Lounging,Happy &amp; Upbeat",IF(SUM(COUNTIF(H42,{"*Lo-Fi*"})),"Work, Study &amp; Reading,Chilling Out &amp; Lounging,Relaxed &amp; Laid Back",IF(SUM(COUNTIF(H42,{"*Tech*"})),"Hard &amp; Heavy,Chilling Out &amp; Lounging,Happy &amp; Upbeat",IF(SUM(COUNTIF(H42,{"*Indie/Chill Dance*"})),"Hard &amp; Heavy,Chilling Out &amp; Lounging,Happy &amp; Upbeat",IF(SUM(COUNTIF(H42,{"*Piano*"})),"Hard &amp; Heavy,Chilling Out &amp; Lounging,Happy &amp; Upbeat",IF(SUM(COUNTIF(H42,{"*EDM*"})),"Hard &amp; Heavy,Chilling Out &amp; Lounging,Happy &amp; Upbeat",IF(H42="","","")))))))</f>
        <v/>
      </c>
      <c r="AP42" s="9" t="str">
        <f t="shared" si="20"/>
        <v/>
      </c>
      <c r="AQ42" s="9" t="str">
        <f ca="1">IFERROR(_xlfn.TEXTBEFORE(AP42,","),AP42)</f>
        <v/>
      </c>
      <c r="AR42" s="9" t="str">
        <f ca="1">IFERROR(TRIM(SUBSTITUTE(SUBSTITUTE(SUBSTITUTE(SUBSTITUTE(_xlfn.TEXTAFTER(AP42,",",1),AS42,""),AT42,""),AU42,""),",","")),"")</f>
        <v/>
      </c>
      <c r="AS42" s="9" t="str">
        <f ca="1">IFERROR(SUBSTITUTE(SUBSTITUTE(SUBSTITUTE(_xlfn.TEXTAFTER(AP42,",",2),AT42,""),",",""),AU42,""),"")</f>
        <v/>
      </c>
      <c r="AT42" s="9" t="str">
        <f ca="1">IFERROR(SUBSTITUTE(SUBSTITUTE(_xlfn.TEXTAFTER(AP42,",",3),AU42,""),",",""),"")</f>
        <v/>
      </c>
      <c r="AU42" s="9" t="str">
        <f ca="1">IFERROR(_xlfn.TEXTAFTER(AP42,",",4),"")</f>
        <v/>
      </c>
      <c r="BA42" t="s">
        <v>134</v>
      </c>
      <c r="BB42" t="s">
        <v>56</v>
      </c>
      <c r="BC42">
        <f t="shared" ca="1" si="21"/>
        <v>0.95890626783888444</v>
      </c>
      <c r="BK42" t="s">
        <v>134</v>
      </c>
      <c r="BL42" t="s">
        <v>54</v>
      </c>
      <c r="BM42">
        <f t="shared" ca="1" si="22"/>
        <v>0.71790475181421809</v>
      </c>
    </row>
    <row r="43" spans="6:65" x14ac:dyDescent="0.25">
      <c r="F43" s="3"/>
      <c r="H43" s="7"/>
      <c r="P43" t="str">
        <f t="shared" si="15"/>
        <v/>
      </c>
      <c r="Q43" t="str">
        <f t="shared" si="16"/>
        <v/>
      </c>
      <c r="R43" t="str">
        <f t="shared" si="17"/>
        <v/>
      </c>
      <c r="S43" t="str">
        <f t="array" ref="S43">IF(SUM(COUNTIF(H43,{"*Deep*";"*Bass*";"*Slap*"})),"Other:Deep House",IF(SUM(COUNTIF(H43,{"*Lo-Fi*"})),"Other:Lo-Fi",IF(SUM(COUNTIF(H43,{"*Tech*"})),"Other:Tech House",IF(SUM(COUNTIF(H43,{"*Indie/Chill Dance*"})),"Other:Indie/Chill Dance",IF(SUM(COUNTIF(H43,{"*Piano*"})),"Other:Piano House",IF(SUM(COUNTIF(H43,{"*EDM*"})),"edm dance",IF(H43="","","")))))))</f>
        <v/>
      </c>
      <c r="T43" t="str">
        <f t="array" ref="T43">IF(SUM(COUNTIF(H43,{"*Deep*";"*Bass*";"*Slap*"})),"energetic",IF(SUM(COUNTIF(H43,{"*Lo-Fi*"})),"calm",IF(SUM(COUNTIF(H43,{"*Tech*"})),"energetic",IF(SUM(COUNTIF(H43,{"*Indie/Chill Dance*"})),"chillout",IF(SUM(COUNTIF(H43,{"*Piano*"})),"energetic",IF(SUM(COUNTIF(H43,{"*EDM*"})),"energetic",IF(H43="","","")))))))</f>
        <v/>
      </c>
      <c r="U43" t="str">
        <f t="array" ref="U43">IF(SUM(COUNTIF(H43,{"*Tech*";"*EDM*";"*Indie*";"*Deep*";"*Piano*";"*Slap*";"*Brazilian Bass*"})),"Song would perfectly fit in any dance mood playlist! Label will invest up to 5000 EUR advertising on facebook and instagram ads aswell as promoting it over label and label partners playlists, radio stations and press.",IF(SUM(COUNTIF(H43,{"*Lo-Fi*"})),"Song would perfectly fit in any Lo-Fi mood playlist! Label will invest up to 5000 EUR advertising on facebook and instagram ads aswell as promoting it over label and label partners playlists, radio stations and press.",IF(H43="","","")))</f>
        <v/>
      </c>
      <c r="V43" t="str">
        <f t="shared" si="18"/>
        <v/>
      </c>
      <c r="W43" t="str">
        <f t="shared" si="7"/>
        <v/>
      </c>
      <c r="X43" t="str">
        <f t="shared" si="23"/>
        <v/>
      </c>
      <c r="Z43" t="str">
        <f t="array" aca="1" ref="Z43" ca="1">+IFERROR(INDEX(INDIRECT((_xlfn.XLOOKUP(H43,map_location[Genre],map_location[location]))),RANK(INDIRECT((_xlfn.XLOOKUP(H43,map_location[Genre],map_location[MIN+2])),FALSE),INDIRECT((_xlfn.XLOOKUP(H43,map_location[Genre],map_location[rand]))),1)),"")</f>
        <v/>
      </c>
      <c r="AA43" t="str">
        <f t="array" ref="AA43">IF(SUM(COUNTIF(H43,{"*Deep*";"*Bass*";"*Slap*"})),"**Deep House**House**Dance**",IF(SUM(COUNTIF(H43,{"*Lo-Fi*"})),"**Lo-Fi Pop**Lo-Fi Beats**Lo-Fi**",IF(SUM(COUNTIF(H43,{"*Tech*"})),"**Deep House**Tech House**Dance**",IF(SUM(COUNTIF(H43,{"*Indie/Chill Dance*"})),"**Indie Dance**Indie Electronic**Dance Pop**",IF(SUM(COUNTIF(H43,{"*Piano*"})),"**House**Electro house**Melodic House**",IF(SUM(COUNTIF(H43,{"*EDM*"})),"**EDM**Electro house**Dance Pop**",IF(H43="","","")))))))</f>
        <v/>
      </c>
      <c r="AB43" t="str">
        <f t="array" ref="AB43">IF(SUM(COUNTIF(H43,{"*Deep*";"*Bass*";"*Slap*"})),"Energetic,Happy",IF(SUM(COUNTIF(H43,{"*Lo-Fi*"})),"Romantic,Chill",IF(SUM(COUNTIF(H43,{"*Tech*"})),"Energetic,Happy",IF(SUM(COUNTIF(H43,{"*Indie/Chill Dance*"})),"Energetic,Chill",IF(SUM(COUNTIF(H43,{"*Piano*"})),"Energetic,Happy",IF(SUM(COUNTIF(H43,{"*EDM*"})),"Energetic,Happy",IF(H43="","","")))))))</f>
        <v/>
      </c>
      <c r="AC43" t="str">
        <f t="array" ref="AC43">IF(SUM(COUNTIF(H43,{"*Deep*";"*Bass*";"*Slap*"})),"None of these",IF(SUM(COUNTIF(H43,{"*Lo-Fi*"})),"Holiday,Beats",IF(SUM(COUNTIF(H43,{"*Tech*"})),"None of these",IF(SUM(COUNTIF(H43,{"*Indie/Chill Dance*"})),"None of these",IF(SUM(COUNTIF(H43,{"*Piano*"})),"None of these",IF(SUM(COUNTIF(H43,{"*EDM*"})),"None of these",IF(H43="","","")))))))</f>
        <v/>
      </c>
      <c r="AD43" t="str">
        <f t="array" ref="AD43">IF(SUM(COUNTIF(H43,{"*Deep*";"*Bass*";"*Slap*"})),"Samples,Synthesizer,Bass Guitar,Piano,Drum Kit,Electric Guitar",IF(SUM(COUNTIF(H43,{"*Lo-Fi*"})),"Samples,Synthesizer,Bass Guitar,Piano,Drum Kit,Electric Guitar",IF(SUM(COUNTIF(H43,{"*Tech*"})),"Samples,Synthesizer,Bass Guitar,Piano,Drum Kit,Electric Guitar",IF(SUM(COUNTIF(H43,{"*Indie/Chill Dance*"})),"Samples,Synthesizer,Bass Guitar,Piano,Drum Kit,Electric Guitar",IF(SUM(COUNTIF(H43,{"*Piano*"})),"Samples,Synthesizer,Bass Guitar,Piano,Drum Kit,Electric Guitar",IF(SUM(COUNTIF(H43,{"*EDM*"})),"Samples,Synthesizer,Bass Guitar,Piano,Drum Kit,Electric Guitar",IF(H43="","","")))))))</f>
        <v/>
      </c>
      <c r="AE43" t="str">
        <f t="array" ref="AE43">IF(N43="Cover","Yes",IF(SUM(COUNTIF(N43,{"*Radio/Extended*";"*Radio*";"*Remix*"})),"No",""))</f>
        <v/>
      </c>
      <c r="AF43" t="str">
        <f t="array" ref="AF43">IF(N43="Remix","Yes",IF(SUM(COUNTIF(N43,{"*Radio/Extended*";"*Radio*";"*Cover*"})),"No",""))</f>
        <v/>
      </c>
      <c r="AG43" t="str">
        <f t="shared" si="19"/>
        <v/>
      </c>
      <c r="AH43" t="str">
        <f t="array" aca="1" ref="AH43" ca="1">+TRIM(SUBSTITUTE(SUBSTITUTE(SUBSTITUTE(SUBSTITUTE(IFERROR(AQ43&amp;" "&amp;+_xlfn.XLOOKUP(((SUM(LEN(AP43))-SUM(LEN(SUBSTITUTE(AP43,",",""))))/LEN(",")+1)&amp;H43,#REF!&amp;#REF!,#REF!)&amp;CHAR(34)&amp;B43&amp;CHAR(34)&amp;"!"&amp;_xlfn.XLOOKUP(H43,#REF!,#REF!&amp;#REF!),""),"Second",AR43),"Third",AS43),"Forth",AT43),"Fifth",AU43&amp;" "))</f>
        <v/>
      </c>
      <c r="AI43" t="str">
        <f t="array" ref="AI43">IF(SUM(COUNTIF(H43,{"*Deep*";"*Bass*";"*Slap*"})),"**Deep House**Progressive House**House**",IF(SUM(COUNTIF(H43,{"*Lo-Fi*"})),"**Lo-Fi Hip Hop**Indie &amp; Lo Fi**Lounge**",IF(SUM(COUNTIF(H43,{"*Tech*"})),"**Tech House**Techno**Future House**",IF(SUM(COUNTIF(H43,{"*Indie/Chill Dance*"})),"**Chill Electronic**Indie Dance**Ambient**",IF(SUM(COUNTIF(H43,{"*Piano*"})),"**Progressive House**House**Dance Pop**",IF(SUM(COUNTIF(H43,{"*EDM*"})),"**Progressive House**House**EDM**",IF(H43="","","")))))))</f>
        <v/>
      </c>
      <c r="AJ43" t="str">
        <f t="shared" si="5"/>
        <v/>
      </c>
      <c r="AK43" t="str">
        <f t="array" ref="AK43">IF(SUM(COUNTIF(H43,{"*Deep*";"*Bass*";"*Slap*"})),"**Tiësto**Imanbek**",IF(SUM(COUNTIF(H43,{"*Lo-Fi*"})),"**L.Dre**Yasumu**",IF(SUM(COUNTIF(H43,{"*Tech*"})),"**Mau P**Gorgon City**",IF(SUM(COUNTIF(H43,{"*Indie/Chill Dance*"})),"**Felix Jaehn**Lost Frequencies**",IF(SUM(COUNTIF(H43,{"*Piano*"})),"**Avicii**Eric Prydz**",IF(SUM(COUNTIF(H43,{"*EDM*"})),"**David Guetta**Swedish House Mafia**",IF(H43="","","")))))))</f>
        <v/>
      </c>
      <c r="AL43" t="str">
        <f t="array" aca="1" ref="AL43" ca="1">+IFERROR(INDEX(INDIRECT((_xlfn.XLOOKUP(H43,map_country[Genre],map_country[country]))),RANK(INDIRECT((_xlfn.XLOOKUP(H43,map_country[Genre],map_country[min+8])),FALSE),INDIRECT((_xlfn.XLOOKUP(H43,map_country[Genre],map_country[rand]))),1)),"")</f>
        <v/>
      </c>
      <c r="AM43" t="str">
        <f t="array" ref="AM43">IF(SUM(COUNTIF(H43,{"*Deep*";"*Bass*";"*Slap*"})),"Cool,Upbeat,Dark",IF(SUM(COUNTIF(H43,{"*Lo-Fi*"})),"Sexy,Relaxing,Romantic",IF(SUM(COUNTIF(H43,{"*Tech*"})),"Cool,Upbeat,Dark",IF(SUM(COUNTIF(H43,{"*Indie/Chill Dance*"})),"Cool,Upbeat,Light",IF(SUM(COUNTIF(H43,{"*Piano*"})),"Cool,Upbeat,Light",IF(SUM(COUNTIF(H43,{"*EDM*"})),"Cool,Upbeat,Happy Mood",IF(H43="","","")))))))</f>
        <v/>
      </c>
      <c r="AN43" t="str">
        <f t="array" ref="AN43">IF(SUM(COUNTIF(H43,{"*Deep*";"*Bass*";"*Slap*"})),"Hard &amp; Heavy,Chilling Out &amp; Lounging,Happy &amp; Upbeat",IF(SUM(COUNTIF(H43,{"*Lo-Fi*"})),"Work, Study &amp; Reading,Chilling Out &amp; Lounging,Relaxed &amp; Laid Back",IF(SUM(COUNTIF(H43,{"*Tech*"})),"Hard &amp; Heavy,Chilling Out &amp; Lounging,Happy &amp; Upbeat",IF(SUM(COUNTIF(H43,{"*Indie/Chill Dance*"})),"Hard &amp; Heavy,Chilling Out &amp; Lounging,Happy &amp; Upbeat",IF(SUM(COUNTIF(H43,{"*Piano*"})),"Hard &amp; Heavy,Chilling Out &amp; Lounging,Happy &amp; Upbeat",IF(SUM(COUNTIF(H43,{"*EDM*"})),"Hard &amp; Heavy,Chilling Out &amp; Lounging,Happy &amp; Upbeat",IF(H43="","","")))))))</f>
        <v/>
      </c>
      <c r="AP43" s="9" t="str">
        <f t="shared" si="20"/>
        <v/>
      </c>
      <c r="AQ43" s="9" t="str">
        <f ca="1">IFERROR(_xlfn.TEXTBEFORE(AP43,","),AP43)</f>
        <v/>
      </c>
      <c r="AR43" s="9" t="str">
        <f ca="1">IFERROR(TRIM(SUBSTITUTE(SUBSTITUTE(SUBSTITUTE(SUBSTITUTE(_xlfn.TEXTAFTER(AP43,",",1),AS43,""),AT43,""),AU43,""),",","")),"")</f>
        <v/>
      </c>
      <c r="AS43" s="9" t="str">
        <f ca="1">IFERROR(SUBSTITUTE(SUBSTITUTE(SUBSTITUTE(_xlfn.TEXTAFTER(AP43,",",2),AT43,""),",",""),AU43,""),"")</f>
        <v/>
      </c>
      <c r="AT43" s="9" t="str">
        <f ca="1">IFERROR(SUBSTITUTE(SUBSTITUTE(_xlfn.TEXTAFTER(AP43,",",3),AU43,""),",",""),"")</f>
        <v/>
      </c>
      <c r="AU43" s="9" t="str">
        <f ca="1">IFERROR(_xlfn.TEXTAFTER(AP43,",",4),"")</f>
        <v/>
      </c>
      <c r="BA43" t="s">
        <v>135</v>
      </c>
      <c r="BB43" t="s">
        <v>56</v>
      </c>
      <c r="BC43">
        <f t="shared" ca="1" si="21"/>
        <v>0.98910964573187932</v>
      </c>
      <c r="BK43" t="s">
        <v>135</v>
      </c>
      <c r="BL43" t="s">
        <v>54</v>
      </c>
      <c r="BM43">
        <f t="shared" ca="1" si="22"/>
        <v>4.4279940249007943E-2</v>
      </c>
    </row>
    <row r="44" spans="6:65" x14ac:dyDescent="0.25">
      <c r="F44" s="3"/>
      <c r="H44" s="7"/>
      <c r="P44" t="str">
        <f t="shared" si="15"/>
        <v/>
      </c>
      <c r="Q44" t="str">
        <f t="shared" si="16"/>
        <v/>
      </c>
      <c r="R44" t="str">
        <f t="shared" si="17"/>
        <v/>
      </c>
      <c r="S44" t="str">
        <f t="array" ref="S44">IF(SUM(COUNTIF(H44,{"*Deep*";"*Bass*";"*Slap*"})),"Citas:Deep House",IF(SUM(COUNTIF(H44,{"*Lo-Fi*"})),"Citas:Lo-Fi",IF(SUM(COUNTIF(H44,{"*Tech*"})),"Citas:Tech House",IF(SUM(COUNTIF(H44,{"*Indie/Chill Dance*"})),"Citas:Indie/Chill Dance",IF(SUM(COUNTIF(H44,{"*Piano*"})),"Citas:Piano House",IF(SUM(COUNTIF(H44,{"*EDM*"})),"edm dance",IF(H44="","","")))))))</f>
        <v/>
      </c>
      <c r="T44" t="str">
        <f t="array" ref="T44">IF(SUM(COUNTIF(H44,{"*Deep*";"*Bass*";"*Slap*"})),"energetic",IF(SUM(COUNTIF(H44,{"*Lo-Fi*"})),"calm",IF(SUM(COUNTIF(H44,{"*Tech*"})),"energetic",IF(SUM(COUNTIF(H44,{"*Indie/Chill Dance*"})),"chillout",IF(SUM(COUNTIF(H44,{"*Piano*"})),"energetic",IF(SUM(COUNTIF(H44,{"*EDM*"})),"energetic",IF(H44="","","")))))))</f>
        <v/>
      </c>
      <c r="U44" t="str">
        <f t="array" ref="U44">IF(SUM(COUNTIF(H44,{"*Tech*";"*EDM*";"*Indie*";"*Deep*";"*Piano*";"*Slap*";"*Brazilian Bass*"})),"Song would perfectly fit in any dance mood playlist! Label will invest up to 5000 EUR advertising on facebook and instagram ads aswell as promoting it over label and label partners playlists, radio stations and press.",IF(SUM(COUNTIF(H44,{"*Lo-Fi*"})),"Song would perfectly fit in any Lo-Fi mood playlist! Label will invest up to 5000 EUR advertising on facebook and instagram ads aswell as promoting it over label and label partners playlists, radio stations and press.",IF(H44="","","")))</f>
        <v/>
      </c>
      <c r="V44" t="str">
        <f t="shared" si="18"/>
        <v/>
      </c>
      <c r="W44" t="str">
        <f t="shared" si="7"/>
        <v/>
      </c>
      <c r="X44" t="str">
        <f t="shared" si="23"/>
        <v/>
      </c>
      <c r="Z44" t="str">
        <f t="array" aca="1" ref="Z44" ca="1">+IF(H44="LO-FI","",IFERROR(INDEX(INDIRECT((_xlfn.XLOOKUP(H44,map_location[Genre],map_location[location]))),RANK(INDIRECT((_xlfn.XLOOKUP(H44,map_location[Genre],map_location[min])),FALSE),INDIRECT((_xlfn.XLOOKUP(H44,map_location[Genre],map_location[rand]))),1)),""))</f>
        <v/>
      </c>
      <c r="AA44" t="str">
        <f t="array" ref="AA44">IF(SUM(COUNTIF(H44,{"*Deep*";"*Bass*";"*Slap*"})),"**Deep House**House**Dance**",IF(SUM(COUNTIF(H44,{"*Lo-Fi*"})),"**Lo-Fi Pop**Lo-Fi Beats**Lo-Fi**",IF(SUM(COUNTIF(H44,{"*Tech*"})),"**Deep House**Tech House**Dance**",IF(SUM(COUNTIF(H44,{"*Indie/Chill Dance*"})),"**Indie Dance**Indie Electronic**Dance Pop**",IF(SUM(COUNTIF(H44,{"*Piano*"})),"**House**Electro house**Melodic House**",IF(SUM(COUNTIF(H44,{"*EDM*"})),"**EDM**Electro house**Dance Pop**",IF(H44="","","")))))))</f>
        <v/>
      </c>
      <c r="AB44" t="str">
        <f t="array" ref="AB44">IF(SUM(COUNTIF(H44,{"*Deep*";"*Bass*";"*Slap*"})),"Energetic,Happy",IF(SUM(COUNTIF(H44,{"*Lo-Fi*"})),"Romantic,Chill",IF(SUM(COUNTIF(H44,{"*Tech*"})),"Energetic,Happy",IF(SUM(COUNTIF(H44,{"*Indie/Chill Dance*"})),"Energetic,Chill",IF(SUM(COUNTIF(H44,{"*Piano*"})),"Energetic,Happy",IF(SUM(COUNTIF(H44,{"*EDM*"})),"Energetic,Happy",IF(H44="","","")))))))</f>
        <v/>
      </c>
      <c r="AC44" t="str">
        <f t="array" ref="AC44">IF(SUM(COUNTIF(H44,{"*Deep*";"*Bass*";"*Slap*"})),"None of these",IF(SUM(COUNTIF(H44,{"*Lo-Fi*"})),"Holiday,Beats",IF(SUM(COUNTIF(H44,{"*Tech*"})),"None of these",IF(SUM(COUNTIF(H44,{"*Indie/Chill Dance*"})),"None of these",IF(SUM(COUNTIF(H44,{"*Piano*"})),"None of these",IF(SUM(COUNTIF(H44,{"*EDM*"})),"None of these",IF(H44="","","")))))))</f>
        <v/>
      </c>
      <c r="AD44" t="str">
        <f t="array" ref="AD44">IF(SUM(COUNTIF(H44,{"*Deep*";"*Bass*";"*Slap*"})),"Samples,Synthesizer,Bass Guitar,Piano,Drum Kit,Electric Guitar",IF(SUM(COUNTIF(H44,{"*Lo-Fi*"})),"Samples,Synthesizer,Bass Guitar,Piano,Drum Kit,Electric Guitar",IF(SUM(COUNTIF(H44,{"*Tech*"})),"Samples,Synthesizer,Bass Guitar,Piano,Drum Kit,Electric Guitar",IF(SUM(COUNTIF(H44,{"*Indie/Chill Dance*"})),"Samples,Synthesizer,Bass Guitar,Piano,Drum Kit,Electric Guitar",IF(SUM(COUNTIF(H44,{"*Piano*"})),"Samples,Synthesizer,Bass Guitar,Piano,Drum Kit,Electric Guitar",IF(SUM(COUNTIF(H44,{"*EDM*"})),"Samples,Synthesizer,Bass Guitar,Piano,Drum Kit,Electric Guitar",IF(H44="","","")))))))</f>
        <v/>
      </c>
      <c r="AE44" t="str">
        <f t="array" ref="AE44">IF(N44="Cover","Yes",IF(SUM(COUNTIF(N44,{"*Radio/Extended*";"*Radio*";"*Remix*"})),"No",""))</f>
        <v/>
      </c>
      <c r="AF44" t="str">
        <f t="array" ref="AF44">IF(N44="Remix","Yes",IF(SUM(COUNTIF(N44,{"*Radio/Extended*";"*Radio*";"*Cover*"})),"No",""))</f>
        <v/>
      </c>
      <c r="AG44" t="str">
        <f t="shared" si="19"/>
        <v/>
      </c>
      <c r="AH44" t="str">
        <f t="array" aca="1" ref="AH44" ca="1">+TRIM(SUBSTITUTE(SUBSTITUTE(SUBSTITUTE(SUBSTITUTE(IFERROR(AQ44&amp;" "&amp;+_xlfn.XLOOKUP(((SUM(LEN(AP44))-SUM(LEN(SUBSTITUTE(AP44,",",""))))/LEN(",")+1)&amp;H44,#REF!&amp;#REF!,#REF!)&amp;CHAR(34)&amp;B44&amp;CHAR(34)&amp;"!"&amp;_xlfn.XLOOKUP(H44,#REF!,#REF!&amp;#REF!),""),"Second",AR44),"Third",AS44),"Forth",AT44),"Fifth",AU44&amp;" "))</f>
        <v/>
      </c>
      <c r="AJ44" t="str">
        <f t="shared" si="5"/>
        <v/>
      </c>
      <c r="AK44" t="str">
        <f t="array" ref="AK44">IF(SUM(COUNTIF(H44,{"*Deep*";"*Bass*";"*Slap*"})),"**Tiësto**Imanbek**",IF(SUM(COUNTIF(H44,{"*Lo-Fi*"})),"**L.Dre**Yasumu**",IF(SUM(COUNTIF(H44,{"*Tech*"})),"**Mau P**Gorgon City**",IF(SUM(COUNTIF(H44,{"*Indie/Chill Dance*"})),"**Felix Jaehn**Lost Frequencies**",IF(SUM(COUNTIF(H44,{"*Piano*"})),"**Avicii**Eric Prydz**",IF(SUM(COUNTIF(H44,{"*EDM*"})),"**David Guetta**Swedish House Mafia**",IF(H44="","","")))))))</f>
        <v/>
      </c>
      <c r="AL44" t="str">
        <f t="array" aca="1" ref="AL44" ca="1">+IFERROR(INDEX(INDIRECT((_xlfn.XLOOKUP(H44,map_country[Genre],map_country[country]))),RANK(INDIRECT((_xlfn.XLOOKUP(H44,map_country[Genre],map_country[min+9])),FALSE),INDIRECT((_xlfn.XLOOKUP(H44,map_country[Genre],map_country[rand]))),1)),"")</f>
        <v/>
      </c>
      <c r="AM44" t="str">
        <f t="array" ref="AM44">IF(SUM(COUNTIF(H44,{"*Deep*";"*Bass*";"*Slap*"})),"Cool,Upbeat,Dark",IF(SUM(COUNTIF(H44,{"*Lo-Fi*"})),"Sexy,Relaxing,Romantic",IF(SUM(COUNTIF(H44,{"*Tech*"})),"Cool,Upbeat,Dark",IF(SUM(COUNTIF(H44,{"*Indie/Chill Dance*"})),"Cool,Upbeat,Light",IF(SUM(COUNTIF(H44,{"*Piano*"})),"Cool,Upbeat,Light",IF(SUM(COUNTIF(H44,{"*EDM*"})),"Cool,Upbeat,Happy Mood",IF(H44="","","")))))))</f>
        <v/>
      </c>
      <c r="AN44" t="str">
        <f t="array" ref="AN44">IF(SUM(COUNTIF(H44,{"*Deep*";"*Bass*";"*Slap*"})),"Hard &amp; Heavy,Chilling Out &amp; Lounging,Happy &amp; Upbeat",IF(SUM(COUNTIF(H44,{"*Lo-Fi*"})),"Work, Study &amp; Reading,Chilling Out &amp; Lounging,Relaxed &amp; Laid Back",IF(SUM(COUNTIF(H44,{"*Tech*"})),"Hard &amp; Heavy,Chilling Out &amp; Lounging,Happy &amp; Upbeat",IF(SUM(COUNTIF(H44,{"*Indie/Chill Dance*"})),"Hard &amp; Heavy,Chilling Out &amp; Lounging,Happy &amp; Upbeat",IF(SUM(COUNTIF(H44,{"*Piano*"})),"Hard &amp; Heavy,Chilling Out &amp; Lounging,Happy &amp; Upbeat",IF(SUM(COUNTIF(H44,{"*EDM*"})),"Hard &amp; Heavy,Chilling Out &amp; Lounging,Happy &amp; Upbeat",IF(H44="","","")))))))</f>
        <v/>
      </c>
      <c r="AP44" s="9" t="str">
        <f t="shared" si="20"/>
        <v/>
      </c>
      <c r="AQ44" s="9" t="str">
        <f ca="1">IFERROR(_xlfn.TEXTBEFORE(AP44,","),AP44)</f>
        <v/>
      </c>
      <c r="AR44" s="9" t="str">
        <f ca="1">IFERROR(TRIM(SUBSTITUTE(SUBSTITUTE(SUBSTITUTE(SUBSTITUTE(_xlfn.TEXTAFTER(AP44,",",1),AS44,""),AT44,""),AU44,""),",","")),"")</f>
        <v/>
      </c>
      <c r="AS44" s="9" t="str">
        <f ca="1">IFERROR(SUBSTITUTE(SUBSTITUTE(SUBSTITUTE(_xlfn.TEXTAFTER(AP44,",",2),AT44,""),",",""),AU44,""),"")</f>
        <v/>
      </c>
      <c r="AT44" s="9" t="str">
        <f ca="1">IFERROR(SUBSTITUTE(SUBSTITUTE(_xlfn.TEXTAFTER(AP44,",",3),AU44,""),",",""),"")</f>
        <v/>
      </c>
      <c r="AU44" s="9" t="str">
        <f ca="1">IFERROR(_xlfn.TEXTAFTER(AP44,",",4),"")</f>
        <v/>
      </c>
      <c r="BA44" t="s">
        <v>136</v>
      </c>
      <c r="BB44" t="s">
        <v>56</v>
      </c>
      <c r="BC44">
        <f t="shared" ca="1" si="21"/>
        <v>0.73789659908109806</v>
      </c>
      <c r="BK44" t="s">
        <v>136</v>
      </c>
      <c r="BL44" t="s">
        <v>54</v>
      </c>
      <c r="BM44">
        <f t="shared" ca="1" si="22"/>
        <v>0.32146897603846791</v>
      </c>
    </row>
    <row r="45" spans="6:65" x14ac:dyDescent="0.25">
      <c r="F45" s="3"/>
      <c r="H45" s="7"/>
      <c r="P45" t="str">
        <f t="shared" si="15"/>
        <v/>
      </c>
      <c r="Q45" t="str">
        <f t="shared" si="16"/>
        <v/>
      </c>
      <c r="R45" t="str">
        <f t="shared" si="17"/>
        <v/>
      </c>
      <c r="S45" t="str">
        <f t="array" ref="S45">IF(SUM(COUNTIF(H45,{"*Deep*";"*Bass*";"*Slap*"})),"Citas:Deep House",IF(SUM(COUNTIF(H45,{"*Lo-Fi*"})),"Citas:Lo-Fi",IF(SUM(COUNTIF(H45,{"*Tech*"})),"Citas:Tech House",IF(SUM(COUNTIF(H45,{"*Indie/Chill Dance*"})),"Citas:Indie/Chill Dance",IF(SUM(COUNTIF(H45,{"*Piano*"})),"Citas:Piano House",IF(SUM(COUNTIF(H45,{"*EDM*"})),"edm dance",IF(H45="","","")))))))</f>
        <v/>
      </c>
      <c r="T45" t="str">
        <f t="array" ref="T45">IF(SUM(COUNTIF(H45,{"*Deep*";"*Bass*";"*Slap*"})),"energetic",IF(SUM(COUNTIF(H45,{"*Lo-Fi*"})),"calm",IF(SUM(COUNTIF(H45,{"*Tech*"})),"energetic",IF(SUM(COUNTIF(H45,{"*Indie/Chill Dance*"})),"chillout",IF(SUM(COUNTIF(H45,{"*Piano*"})),"energetic",IF(SUM(COUNTIF(H45,{"*EDM*"})),"energetic",IF(H45="","","")))))))</f>
        <v/>
      </c>
      <c r="U45" t="str">
        <f t="array" ref="U45">IF(SUM(COUNTIF(H45,{"*Tech*";"*EDM*";"*Indie*";"*Deep*";"*Piano*";"*Slap*";"*Brazilian Bass*"})),"Song would perfectly fit in any dance mood playlist! Label will invest up to 5000 EUR advertising on facebook and instagram ads aswell as promoting it over label and label partners playlists, radio stations and press.",IF(SUM(COUNTIF(H45,{"*Lo-Fi*"})),"Song would perfectly fit in any Lo-Fi mood playlist! Label will invest up to 5000 EUR advertising on facebook and instagram ads aswell as promoting it over label and label partners playlists, radio stations and press.",IF(H45="","","")))</f>
        <v/>
      </c>
      <c r="V45" t="str">
        <f t="shared" si="18"/>
        <v/>
      </c>
      <c r="W45" t="str">
        <f t="shared" si="7"/>
        <v/>
      </c>
      <c r="X45" t="str">
        <f t="shared" si="23"/>
        <v/>
      </c>
      <c r="Z45" t="str">
        <f t="array" aca="1" ref="Z45" ca="1">+IFERROR(INDEX(INDIRECT((_xlfn.XLOOKUP(H45,map_location[Genre],map_location[location]))),RANK(INDIRECT((_xlfn.XLOOKUP(H45,map_location[Genre],map_location[MIN+1])),FALSE),INDIRECT((_xlfn.XLOOKUP(H45,map_location[Genre],map_location[rand]))),1)),"")</f>
        <v/>
      </c>
      <c r="AA45" t="str">
        <f t="array" ref="AA45">IF(SUM(COUNTIF(H45,{"*Deep*";"*Bass*";"*Slap*"})),"**Deep House**House**Dance**",IF(SUM(COUNTIF(H45,{"*Lo-Fi*"})),"**Lo-Fi Pop**Lo-Fi Beats**Lo-Fi**",IF(SUM(COUNTIF(H45,{"*Tech*"})),"**Deep House**Tech House**Dance**",IF(SUM(COUNTIF(H45,{"*Indie/Chill Dance*"})),"**Indie Dance**Indie Electronic**Dance Pop**",IF(SUM(COUNTIF(H45,{"*Piano*"})),"**House**Electro house**Melodic House**",IF(SUM(COUNTIF(H45,{"*EDM*"})),"**EDM**Electro house**Dance Pop**",IF(H45="","","")))))))</f>
        <v/>
      </c>
      <c r="AB45" t="str">
        <f t="array" ref="AB45">IF(SUM(COUNTIF(H45,{"*Deep*";"*Bass*";"*Slap*"})),"Energetic,Happy",IF(SUM(COUNTIF(H45,{"*Lo-Fi*"})),"Romantic,Chill",IF(SUM(COUNTIF(H45,{"*Tech*"})),"Energetic,Happy",IF(SUM(COUNTIF(H45,{"*Indie/Chill Dance*"})),"Energetic,Chill",IF(SUM(COUNTIF(H45,{"*Piano*"})),"Energetic,Happy",IF(SUM(COUNTIF(H45,{"*EDM*"})),"Energetic,Happy",IF(H45="","","")))))))</f>
        <v/>
      </c>
      <c r="AC45" t="str">
        <f t="array" ref="AC45">IF(SUM(COUNTIF(H45,{"*Deep*";"*Bass*";"*Slap*"})),"None of these",IF(SUM(COUNTIF(H45,{"*Lo-Fi*"})),"Holiday,Beats",IF(SUM(COUNTIF(H45,{"*Tech*"})),"None of these",IF(SUM(COUNTIF(H45,{"*Indie/Chill Dance*"})),"None of these",IF(SUM(COUNTIF(H45,{"*Piano*"})),"None of these",IF(SUM(COUNTIF(H45,{"*EDM*"})),"None of these",IF(H45="","","")))))))</f>
        <v/>
      </c>
      <c r="AD45" t="str">
        <f t="array" ref="AD45">IF(SUM(COUNTIF(H45,{"*Deep*";"*Bass*";"*Slap*"})),"Samples,Synthesizer,Bass Guitar,Piano,Drum Kit,Electric Guitar",IF(SUM(COUNTIF(H45,{"*Lo-Fi*"})),"Samples,Synthesizer,Bass Guitar,Piano,Drum Kit,Electric Guitar",IF(SUM(COUNTIF(H45,{"*Tech*"})),"Samples,Synthesizer,Bass Guitar,Piano,Drum Kit,Electric Guitar",IF(SUM(COUNTIF(H45,{"*Indie/Chill Dance*"})),"Samples,Synthesizer,Bass Guitar,Piano,Drum Kit,Electric Guitar",IF(SUM(COUNTIF(H45,{"*Piano*"})),"Samples,Synthesizer,Bass Guitar,Piano,Drum Kit,Electric Guitar",IF(SUM(COUNTIF(H45,{"*EDM*"})),"Samples,Synthesizer,Bass Guitar,Piano,Drum Kit,Electric Guitar",IF(H45="","","")))))))</f>
        <v/>
      </c>
      <c r="AE45" t="str">
        <f t="array" ref="AE45">IF(N45="Cover","Yes",IF(SUM(COUNTIF(N45,{"*Radio/Extended*";"*Radio*";"*Remix*"})),"No",""))</f>
        <v/>
      </c>
      <c r="AF45" t="str">
        <f t="array" ref="AF45">IF(N45="Remix","Yes",IF(SUM(COUNTIF(N45,{"*Radio/Extended*";"*Radio*";"*Cover*"})),"No",""))</f>
        <v/>
      </c>
      <c r="AG45" t="str">
        <f t="shared" si="19"/>
        <v/>
      </c>
      <c r="AH45" t="str">
        <f t="array" aca="1" ref="AH45" ca="1">+TRIM(SUBSTITUTE(SUBSTITUTE(SUBSTITUTE(SUBSTITUTE(IFERROR(AQ45&amp;" "&amp;+_xlfn.XLOOKUP(((SUM(LEN(AP45))-SUM(LEN(SUBSTITUTE(AP45,",",""))))/LEN(",")+1)&amp;H45,#REF!&amp;#REF!,#REF!)&amp;CHAR(34)&amp;B45&amp;CHAR(34)&amp;"!"&amp;_xlfn.XLOOKUP(H45,#REF!,#REF!&amp;#REF!),""),"Second",AR45),"Third",AS45),"Forth",AT45),"Fifth",AU45&amp;" "))</f>
        <v/>
      </c>
      <c r="AK45" t="str">
        <f t="array" ref="AK45">IF(SUM(COUNTIF(H45,{"*Deep*";"*Bass*";"*Slap*"})),"**Tiësto**Imanbek**",IF(SUM(COUNTIF(H45,{"*Lo-Fi*"})),"**L.Dre**Yasumu**",IF(SUM(COUNTIF(H45,{"*Tech*"})),"**Mau P**Gorgon City**",IF(SUM(COUNTIF(H45,{"*Indie/Chill Dance*"})),"**Felix Jaehn**Lost Frequencies**",IF(SUM(COUNTIF(H45,{"*Piano*"})),"**Avicii**Eric Prydz**",IF(SUM(COUNTIF(H45,{"*EDM*"})),"**David Guetta**Swedish House Mafia**",IF(H45="","","")))))))</f>
        <v/>
      </c>
      <c r="AL45" t="str">
        <f t="array" aca="1" ref="AL45" ca="1">+IFERROR(INDEX(INDIRECT((_xlfn.XLOOKUP(H45,map_country[Genre],map_country[country]))),RANK(INDIRECT((_xlfn.XLOOKUP(H45,map_country[Genre],map_country[min])),FALSE),INDIRECT((_xlfn.XLOOKUP(H45,map_country[Genre],map_country[rand]))),1)),"")</f>
        <v/>
      </c>
      <c r="AM45" t="str">
        <f t="array" ref="AM45">IF(SUM(COUNTIF(H45,{"*Deep*";"*Bass*";"*Slap*"})),"Cool,Upbeat,Dark",IF(SUM(COUNTIF(H45,{"*Lo-Fi*"})),"Sexy,Relaxing,Romantic",IF(SUM(COUNTIF(H45,{"*Tech*"})),"Cool,Upbeat,Dark",IF(SUM(COUNTIF(H45,{"*Indie/Chill Dance*"})),"Cool,Upbeat,Light",IF(SUM(COUNTIF(H45,{"*Piano*"})),"Cool,Upbeat,Light",IF(SUM(COUNTIF(H45,{"*EDM*"})),"Cool,Upbeat,Happy Mood",IF(H45="","","")))))))</f>
        <v/>
      </c>
      <c r="AN45" t="str">
        <f t="array" ref="AN45">IF(SUM(COUNTIF(H45,{"*Deep*";"*Bass*";"*Slap*"})),"Hard &amp; Heavy,Chilling Out &amp; Lounging,Happy &amp; Upbeat",IF(SUM(COUNTIF(H45,{"*Lo-Fi*"})),"Work, Study &amp; Reading,Chilling Out &amp; Lounging,Relaxed &amp; Laid Back",IF(SUM(COUNTIF(H45,{"*Tech*"})),"Hard &amp; Heavy,Chilling Out &amp; Lounging,Happy &amp; Upbeat",IF(SUM(COUNTIF(H45,{"*Indie/Chill Dance*"})),"Hard &amp; Heavy,Chilling Out &amp; Lounging,Happy &amp; Upbeat",IF(SUM(COUNTIF(H45,{"*Piano*"})),"Hard &amp; Heavy,Chilling Out &amp; Lounging,Happy &amp; Upbeat",IF(SUM(COUNTIF(H45,{"*EDM*"})),"Hard &amp; Heavy,Chilling Out &amp; Lounging,Happy &amp; Upbeat",IF(H45="","","")))))))</f>
        <v/>
      </c>
      <c r="AP45" s="9" t="str">
        <f t="shared" si="20"/>
        <v/>
      </c>
      <c r="AQ45" s="9" t="str">
        <f ca="1">IFERROR(_xlfn.TEXTBEFORE(AP45,","),AP45)</f>
        <v/>
      </c>
      <c r="AR45" s="9" t="str">
        <f ca="1">IFERROR(TRIM(SUBSTITUTE(SUBSTITUTE(SUBSTITUTE(SUBSTITUTE(_xlfn.TEXTAFTER(AP45,",",1),AS45,""),AT45,""),AU45,""),",","")),"")</f>
        <v/>
      </c>
      <c r="AS45" s="9" t="str">
        <f ca="1">IFERROR(SUBSTITUTE(SUBSTITUTE(SUBSTITUTE(_xlfn.TEXTAFTER(AP45,",",2),AT45,""),",",""),AU45,""),"")</f>
        <v/>
      </c>
      <c r="AT45" s="9" t="str">
        <f ca="1">IFERROR(SUBSTITUTE(SUBSTITUTE(_xlfn.TEXTAFTER(AP45,",",3),AU45,""),",",""),"")</f>
        <v/>
      </c>
      <c r="AU45" s="9" t="str">
        <f ca="1">IFERROR(_xlfn.TEXTAFTER(AP45,",",4),"")</f>
        <v/>
      </c>
      <c r="BA45" t="s">
        <v>137</v>
      </c>
      <c r="BB45" t="s">
        <v>56</v>
      </c>
      <c r="BC45">
        <f t="shared" ca="1" si="21"/>
        <v>0.61499026934639045</v>
      </c>
      <c r="BK45" t="s">
        <v>137</v>
      </c>
      <c r="BL45" t="s">
        <v>54</v>
      </c>
      <c r="BM45">
        <f t="shared" ca="1" si="22"/>
        <v>0.54240022085515638</v>
      </c>
    </row>
    <row r="46" spans="6:65" x14ac:dyDescent="0.25">
      <c r="F46" s="3"/>
      <c r="H46" s="7"/>
      <c r="P46" t="str">
        <f t="shared" si="15"/>
        <v/>
      </c>
      <c r="Q46" t="str">
        <f t="shared" si="16"/>
        <v/>
      </c>
      <c r="R46" t="str">
        <f t="shared" si="17"/>
        <v/>
      </c>
      <c r="S46" t="str">
        <f t="array" ref="S46">IF(SUM(COUNTIF(H46,{"*Deep*";"*Bass*";"*Slap*"})),"Citas:Deep House",IF(SUM(COUNTIF(H46,{"*Lo-Fi*"})),"Citas:Lo-Fi",IF(SUM(COUNTIF(H46,{"*Tech*"})),"Citas:Tech House",IF(SUM(COUNTIF(H46,{"*Indie/Chill Dance*"})),"Citas:Indie/Chill Dance",IF(SUM(COUNTIF(H46,{"*Piano*"})),"Citas:Piano House",IF(SUM(COUNTIF(H46,{"*EDM*"})),"edm dance",IF(H46="","","")))))))</f>
        <v/>
      </c>
      <c r="T46" t="str">
        <f t="array" ref="T46">IF(SUM(COUNTIF(H46,{"*Deep*";"*Bass*";"*Slap*"})),"energetic",IF(SUM(COUNTIF(H46,{"*Lo-Fi*"})),"calm",IF(SUM(COUNTIF(H46,{"*Tech*"})),"energetic",IF(SUM(COUNTIF(H46,{"*Indie/Chill Dance*"})),"chillout",IF(SUM(COUNTIF(H46,{"*Piano*"})),"energetic",IF(SUM(COUNTIF(H46,{"*EDM*"})),"energetic",IF(H46="","","")))))))</f>
        <v/>
      </c>
      <c r="U46" t="str">
        <f t="array" ref="U46">IF(SUM(COUNTIF(H46,{"*Tech*";"*EDM*";"*Indie*";"*Deep*";"*Piano*";"*Slap*";"*Brazilian Bass*"})),"Song would perfectly fit in any dance mood playlist! Label will invest up to 5000 EUR advertising on facebook and instagram ads aswell as promoting it over label and label partners playlists, radio stations and press.",IF(SUM(COUNTIF(H46,{"*Lo-Fi*"})),"Song would perfectly fit in any Lo-Fi mood playlist! Label will invest up to 5000 EUR advertising on facebook and instagram ads aswell as promoting it over label and label partners playlists, radio stations and press.",IF(H46="","","")))</f>
        <v/>
      </c>
      <c r="V46" t="str">
        <f t="shared" si="18"/>
        <v/>
      </c>
      <c r="W46" t="str">
        <f t="shared" si="7"/>
        <v/>
      </c>
      <c r="X46" t="str">
        <f t="shared" si="23"/>
        <v/>
      </c>
      <c r="Z46" t="str">
        <f t="array" aca="1" ref="Z46" ca="1">+IF(H46="LO-FI","",IFERROR(INDEX(INDIRECT((_xlfn.XLOOKUP(H46,map_location[Genre],map_location[location]))),RANK(INDIRECT((_xlfn.XLOOKUP(H46,map_location[Genre],map_location[min])),FALSE),INDIRECT((_xlfn.XLOOKUP(H46,map_location[Genre],map_location[rand]))),1)),""))</f>
        <v/>
      </c>
      <c r="AA46" t="str">
        <f t="array" ref="AA46">IF(SUM(COUNTIF(H46,{"*Deep*";"*Bass*";"*Slap*"})),"**Deep House**House**Dance**",IF(SUM(COUNTIF(H46,{"*Lo-Fi*"})),"**Lo-Fi Pop**Lo-Fi Beats**Lo-Fi**",IF(SUM(COUNTIF(H46,{"*Tech*"})),"**Deep House**Tech House**Dance**",IF(SUM(COUNTIF(H46,{"*Indie/Chill Dance*"})),"**Indie Dance**Indie Electronic**Dance Pop**",IF(SUM(COUNTIF(H46,{"*Piano*"})),"**House**Electro house**Melodic House**",IF(SUM(COUNTIF(H46,{"*EDM*"})),"**EDM**Electro house**Dance Pop**",IF(H46="","","")))))))</f>
        <v/>
      </c>
      <c r="AB46" t="str">
        <f t="array" ref="AB46">IF(SUM(COUNTIF(H46,{"*Deep*";"*Bass*";"*Slap*"})),"Energetic,Happy",IF(SUM(COUNTIF(H46,{"*Lo-Fi*"})),"Romantic,Chill",IF(SUM(COUNTIF(H46,{"*Tech*"})),"Energetic,Happy",IF(SUM(COUNTIF(H46,{"*Indie/Chill Dance*"})),"Energetic,Chill",IF(SUM(COUNTIF(H46,{"*Piano*"})),"Energetic,Happy",IF(SUM(COUNTIF(H46,{"*EDM*"})),"Energetic,Happy",IF(H46="","","")))))))</f>
        <v/>
      </c>
      <c r="AC46" t="str">
        <f t="array" ref="AC46">IF(SUM(COUNTIF(H46,{"*Deep*";"*Bass*";"*Slap*"})),"None of these",IF(SUM(COUNTIF(H46,{"*Lo-Fi*"})),"Holiday,Beats",IF(SUM(COUNTIF(H46,{"*Tech*"})),"None of these",IF(SUM(COUNTIF(H46,{"*Indie/Chill Dance*"})),"None of these",IF(SUM(COUNTIF(H46,{"*Piano*"})),"None of these",IF(SUM(COUNTIF(H46,{"*EDM*"})),"None of these",IF(H46="","","")))))))</f>
        <v/>
      </c>
      <c r="AD46" t="str">
        <f t="array" ref="AD46">IF(SUM(COUNTIF(H46,{"*Deep*";"*Bass*";"*Slap*"})),"Samples,Synthesizer,Bass Guitar,Piano,Drum Kit,Electric Guitar",IF(SUM(COUNTIF(H46,{"*Lo-Fi*"})),"Samples,Synthesizer,Bass Guitar,Piano,Drum Kit,Electric Guitar",IF(SUM(COUNTIF(H46,{"*Tech*"})),"Samples,Synthesizer,Bass Guitar,Piano,Drum Kit,Electric Guitar",IF(SUM(COUNTIF(H46,{"*Indie/Chill Dance*"})),"Samples,Synthesizer,Bass Guitar,Piano,Drum Kit,Electric Guitar",IF(SUM(COUNTIF(H46,{"*Piano*"})),"Samples,Synthesizer,Bass Guitar,Piano,Drum Kit,Electric Guitar",IF(SUM(COUNTIF(H46,{"*EDM*"})),"Samples,Synthesizer,Bass Guitar,Piano,Drum Kit,Electric Guitar",IF(H46="","","")))))))</f>
        <v/>
      </c>
      <c r="AE46" t="str">
        <f t="array" ref="AE46">IF(N46="Cover","Yes",IF(SUM(COUNTIF(N46,{"*Radio/Extended*";"*Radio*";"*Remix*"})),"No",""))</f>
        <v/>
      </c>
      <c r="AF46" t="str">
        <f t="array" ref="AF46">IF(N46="Remix","Yes",IF(SUM(COUNTIF(N46,{"*Radio/Extended*";"*Radio*";"*Cover*"})),"No",""))</f>
        <v/>
      </c>
      <c r="AG46" t="str">
        <f t="shared" si="19"/>
        <v/>
      </c>
      <c r="AH46" t="str">
        <f t="array" aca="1" ref="AH46" ca="1">+TRIM(SUBSTITUTE(SUBSTITUTE(SUBSTITUTE(SUBSTITUTE(IFERROR(AQ46&amp;" "&amp;+_xlfn.XLOOKUP(((SUM(LEN(AP46))-SUM(LEN(SUBSTITUTE(AP46,",",""))))/LEN(",")+1)&amp;H46,#REF!&amp;#REF!,#REF!)&amp;CHAR(34)&amp;B46&amp;CHAR(34)&amp;"!"&amp;_xlfn.XLOOKUP(H46,#REF!,#REF!&amp;#REF!),""),"Second",AR46),"Third",AS46),"Forth",AT46),"Fifth",AU46&amp;" "))</f>
        <v/>
      </c>
      <c r="AK46" t="str">
        <f t="array" ref="AK46">IF(SUM(COUNTIF(H46,{"*Deep*";"*Bass*";"*Slap*"})),"**Tiësto**Imanbek**",IF(SUM(COUNTIF(H46,{"*Lo-Fi*"})),"**L.Dre**Yasumu**",IF(SUM(COUNTIF(H46,{"*Tech*"})),"**Mau P**Gorgon City**",IF(SUM(COUNTIF(H46,{"*Indie/Chill Dance*"})),"**Felix Jaehn**Lost Frequencies**",IF(SUM(COUNTIF(H46,{"*Piano*"})),"**Avicii**Eric Prydz**",IF(SUM(COUNTIF(H46,{"*EDM*"})),"**David Guetta**Swedish House Mafia**",IF(H46="","","")))))))</f>
        <v/>
      </c>
      <c r="AL46" t="str">
        <f t="array" aca="1" ref="AL46" ca="1">+IFERROR(INDEX(INDIRECT((_xlfn.XLOOKUP(H46,map_country[Genre],map_country[country]))),RANK(INDIRECT((_xlfn.XLOOKUP(H46,map_country[Genre],map_country[MIN+1])),FALSE),INDIRECT((_xlfn.XLOOKUP(H46,map_country[Genre],map_country[rand]))),1)),"")</f>
        <v/>
      </c>
      <c r="AM46" t="str">
        <f t="array" ref="AM46">IF(SUM(COUNTIF(H46,{"*Deep*";"*Bass*";"*Slap*"})),"Cool,Upbeat,Dark",IF(SUM(COUNTIF(H46,{"*Lo-Fi*"})),"Sexy,Relaxing,Romantic",IF(SUM(COUNTIF(H46,{"*Tech*"})),"Cool,Upbeat,Dark",IF(SUM(COUNTIF(H46,{"*Indie/Chill Dance*"})),"Cool,Upbeat,Light",IF(SUM(COUNTIF(H46,{"*Piano*"})),"Cool,Upbeat,Light",IF(SUM(COUNTIF(H46,{"*EDM*"})),"Cool,Upbeat,Happy Mood",IF(H46="","","")))))))</f>
        <v/>
      </c>
      <c r="AN46" t="str">
        <f t="array" ref="AN46">IF(SUM(COUNTIF(H46,{"*Deep*";"*Bass*";"*Slap*"})),"Hard &amp; Heavy,Chilling Out &amp; Lounging,Happy &amp; Upbeat",IF(SUM(COUNTIF(H46,{"*Lo-Fi*"})),"Work, Study &amp; Reading,Chilling Out &amp; Lounging,Relaxed &amp; Laid Back",IF(SUM(COUNTIF(H46,{"*Tech*"})),"Hard &amp; Heavy,Chilling Out &amp; Lounging,Happy &amp; Upbeat",IF(SUM(COUNTIF(H46,{"*Indie/Chill Dance*"})),"Hard &amp; Heavy,Chilling Out &amp; Lounging,Happy &amp; Upbeat",IF(SUM(COUNTIF(H46,{"*Piano*"})),"Hard &amp; Heavy,Chilling Out &amp; Lounging,Happy &amp; Upbeat",IF(SUM(COUNTIF(H46,{"*EDM*"})),"Hard &amp; Heavy,Chilling Out &amp; Lounging,Happy &amp; Upbeat",IF(H46="","","")))))))</f>
        <v/>
      </c>
      <c r="AP46" s="9" t="str">
        <f t="shared" si="20"/>
        <v/>
      </c>
      <c r="AQ46" s="9" t="str">
        <f ca="1">IFERROR(_xlfn.TEXTBEFORE(AP46,","),AP46)</f>
        <v/>
      </c>
      <c r="AR46" s="9" t="str">
        <f ca="1">IFERROR(TRIM(SUBSTITUTE(SUBSTITUTE(SUBSTITUTE(SUBSTITUTE(_xlfn.TEXTAFTER(AP46,",",1),AS46,""),AT46,""),AU46,""),",","")),"")</f>
        <v/>
      </c>
      <c r="AS46" s="9" t="str">
        <f ca="1">IFERROR(SUBSTITUTE(SUBSTITUTE(SUBSTITUTE(_xlfn.TEXTAFTER(AP46,",",2),AT46,""),",",""),AU46,""),"")</f>
        <v/>
      </c>
      <c r="AT46" s="9" t="str">
        <f ca="1">IFERROR(SUBSTITUTE(SUBSTITUTE(_xlfn.TEXTAFTER(AP46,",",3),AU46,""),",",""),"")</f>
        <v/>
      </c>
      <c r="AU46" s="9" t="str">
        <f ca="1">IFERROR(_xlfn.TEXTAFTER(AP46,",",4),"")</f>
        <v/>
      </c>
    </row>
    <row r="47" spans="6:65" x14ac:dyDescent="0.25">
      <c r="F47" s="3"/>
      <c r="H47" s="7"/>
      <c r="P47" t="str">
        <f t="shared" si="15"/>
        <v/>
      </c>
      <c r="Q47" t="str">
        <f t="shared" si="16"/>
        <v/>
      </c>
      <c r="R47" t="str">
        <f t="shared" si="17"/>
        <v/>
      </c>
      <c r="S47" t="str">
        <f t="array" ref="S47">IF(SUM(COUNTIF(H47,{"*Deep*";"*Bass*";"*Slap*"})),"Citas:Deep House",IF(SUM(COUNTIF(H47,{"*Lo-Fi*"})),"Citas:Lo-Fi",IF(SUM(COUNTIF(H47,{"*Tech*"})),"Citas:Tech House",IF(SUM(COUNTIF(H47,{"*Indie/Chill Dance*"})),"Citas:Indie/Chill Dance",IF(SUM(COUNTIF(H47,{"*Piano*"})),"Citas:Piano House",IF(SUM(COUNTIF(H47,{"*EDM*"})),"edm dance",IF(H47="","","")))))))</f>
        <v/>
      </c>
      <c r="T47" t="str">
        <f t="array" ref="T47">IF(SUM(COUNTIF(H47,{"*Deep*";"*Bass*";"*Slap*"})),"energetic",IF(SUM(COUNTIF(H47,{"*Lo-Fi*"})),"calm",IF(SUM(COUNTIF(H47,{"*Tech*"})),"energetic",IF(SUM(COUNTIF(H47,{"*Indie/Chill Dance*"})),"chillout",IF(SUM(COUNTIF(H47,{"*Piano*"})),"energetic",IF(SUM(COUNTIF(H47,{"*EDM*"})),"energetic",IF(H47="","","")))))))</f>
        <v/>
      </c>
      <c r="U47" t="str">
        <f t="array" ref="U47">IF(SUM(COUNTIF(H47,{"*Tech*";"*EDM*";"*Indie*";"*Deep*";"*Piano*";"*Slap*";"*Brazilian Bass*"})),"Song would perfectly fit in any dance mood playlist! Label will invest up to 5000 EUR advertising on facebook and instagram ads aswell as promoting it over label and label partners playlists, radio stations and press.",IF(SUM(COUNTIF(H47,{"*Lo-Fi*"})),"Song would perfectly fit in any Lo-Fi mood playlist! Label will invest up to 5000 EUR advertising on facebook and instagram ads aswell as promoting it over label and label partners playlists, radio stations and press.",IF(H47="","","")))</f>
        <v/>
      </c>
      <c r="V47" t="str">
        <f t="shared" si="18"/>
        <v/>
      </c>
      <c r="W47" t="str">
        <f t="shared" si="7"/>
        <v/>
      </c>
      <c r="X47" t="str">
        <f t="shared" si="23"/>
        <v/>
      </c>
      <c r="Z47" t="str">
        <f t="array" aca="1" ref="Z47" ca="1">+IFERROR(INDEX(INDIRECT((_xlfn.XLOOKUP(H47,map_location[Genre],map_location[location]))),RANK(INDIRECT((_xlfn.XLOOKUP(H47,map_location[Genre],map_location[MIN+1])),FALSE),INDIRECT((_xlfn.XLOOKUP(H47,map_location[Genre],map_location[rand]))),1)),"")</f>
        <v/>
      </c>
      <c r="AA47" t="str">
        <f t="array" ref="AA47">IF(SUM(COUNTIF(H47,{"*Deep*";"*Bass*";"*Slap*"})),"**Deep House**House**Dance**",IF(SUM(COUNTIF(H47,{"*Lo-Fi*"})),"**Lo-Fi Pop**Lo-Fi Beats**Lo-Fi**",IF(SUM(COUNTIF(H47,{"*Tech*"})),"**Deep House**Tech House**Dance**",IF(SUM(COUNTIF(H47,{"*Indie/Chill Dance*"})),"**Indie Dance**Indie Electronic**Dance Pop**",IF(SUM(COUNTIF(H47,{"*Piano*"})),"**House**Electro house**Melodic House**",IF(SUM(COUNTIF(H47,{"*EDM*"})),"**EDM**Electro house**Dance Pop**",IF(H47="","","")))))))</f>
        <v/>
      </c>
      <c r="AB47" t="str">
        <f t="array" ref="AB47">IF(SUM(COUNTIF(H47,{"*Deep*";"*Bass*";"*Slap*"})),"Energetic,Happy",IF(SUM(COUNTIF(H47,{"*Lo-Fi*"})),"Romantic,Chill",IF(SUM(COUNTIF(H47,{"*Tech*"})),"Energetic,Happy",IF(SUM(COUNTIF(H47,{"*Indie/Chill Dance*"})),"Energetic,Chill",IF(SUM(COUNTIF(H47,{"*Piano*"})),"Energetic,Happy",IF(SUM(COUNTIF(H47,{"*EDM*"})),"Energetic,Happy",IF(H47="","","")))))))</f>
        <v/>
      </c>
      <c r="AC47" t="str">
        <f t="array" ref="AC47">IF(SUM(COUNTIF(H47,{"*Deep*";"*Bass*";"*Slap*"})),"None of these",IF(SUM(COUNTIF(H47,{"*Lo-Fi*"})),"Holiday,Beats",IF(SUM(COUNTIF(H47,{"*Tech*"})),"None of these",IF(SUM(COUNTIF(H47,{"*Indie/Chill Dance*"})),"None of these",IF(SUM(COUNTIF(H47,{"*Piano*"})),"None of these",IF(SUM(COUNTIF(H47,{"*EDM*"})),"None of these",IF(H47="","","")))))))</f>
        <v/>
      </c>
      <c r="AD47" t="str">
        <f t="array" ref="AD47">IF(SUM(COUNTIF(H47,{"*Deep*";"*Bass*";"*Slap*"})),"Samples,Synthesizer,Bass Guitar,Piano,Drum Kit,Electric Guitar",IF(SUM(COUNTIF(H47,{"*Lo-Fi*"})),"Samples,Synthesizer,Bass Guitar,Piano,Drum Kit,Electric Guitar",IF(SUM(COUNTIF(H47,{"*Tech*"})),"Samples,Synthesizer,Bass Guitar,Piano,Drum Kit,Electric Guitar",IF(SUM(COUNTIF(H47,{"*Indie/Chill Dance*"})),"Samples,Synthesizer,Bass Guitar,Piano,Drum Kit,Electric Guitar",IF(SUM(COUNTIF(H47,{"*Piano*"})),"Samples,Synthesizer,Bass Guitar,Piano,Drum Kit,Electric Guitar",IF(SUM(COUNTIF(H47,{"*EDM*"})),"Samples,Synthesizer,Bass Guitar,Piano,Drum Kit,Electric Guitar",IF(H47="","","")))))))</f>
        <v/>
      </c>
      <c r="AE47" t="str">
        <f t="array" ref="AE47">IF(N47="Cover","Yes",IF(SUM(COUNTIF(N47,{"*Radio/Extended*";"*Radio*";"*Remix*"})),"No",""))</f>
        <v/>
      </c>
      <c r="AF47" t="str">
        <f t="array" ref="AF47">IF(N47="Remix","Yes",IF(SUM(COUNTIF(N47,{"*Radio/Extended*";"*Radio*";"*Cover*"})),"No",""))</f>
        <v/>
      </c>
      <c r="AG47" t="str">
        <f t="shared" si="19"/>
        <v/>
      </c>
      <c r="AH47" t="str">
        <f t="array" aca="1" ref="AH47" ca="1">+TRIM(SUBSTITUTE(SUBSTITUTE(SUBSTITUTE(SUBSTITUTE(IFERROR(AQ47&amp;" "&amp;+_xlfn.XLOOKUP(((SUM(LEN(AP47))-SUM(LEN(SUBSTITUTE(AP47,",",""))))/LEN(",")+1)&amp;H47,#REF!&amp;#REF!,#REF!)&amp;CHAR(34)&amp;B47&amp;CHAR(34)&amp;"!"&amp;_xlfn.XLOOKUP(H47,#REF!,#REF!&amp;#REF!),""),"Second",AR47),"Third",AS47),"Forth",AT47),"Fifth",AU47&amp;" "))</f>
        <v/>
      </c>
      <c r="AK47" t="str">
        <f t="array" ref="AK47">IF(SUM(COUNTIF(H47,{"*Deep*";"*Bass*";"*Slap*"})),"**Tiësto**Imanbek**",IF(SUM(COUNTIF(H47,{"*Lo-Fi*"})),"**L.Dre**Yasumu**",IF(SUM(COUNTIF(H47,{"*Tech*"})),"**Mau P**Gorgon City**",IF(SUM(COUNTIF(H47,{"*Indie/Chill Dance*"})),"**Felix Jaehn**Lost Frequencies**",IF(SUM(COUNTIF(H47,{"*Piano*"})),"**Avicii**Eric Prydz**",IF(SUM(COUNTIF(H47,{"*EDM*"})),"**David Guetta**Swedish House Mafia**",IF(H47="","","")))))))</f>
        <v/>
      </c>
      <c r="AL47" t="str">
        <f t="array" aca="1" ref="AL47" ca="1">+IFERROR(INDEX(INDIRECT((_xlfn.XLOOKUP(H47,map_country[Genre],map_country[country]))),RANK(INDIRECT((_xlfn.XLOOKUP(H47,map_country[Genre],map_country[MIN+2])),FALSE),INDIRECT((_xlfn.XLOOKUP(H47,map_country[Genre],map_country[rand]))),1)),"")</f>
        <v/>
      </c>
      <c r="AP47" s="9" t="str">
        <f t="shared" si="20"/>
        <v/>
      </c>
      <c r="AQ47" s="9" t="str">
        <f ca="1">IFERROR(_xlfn.TEXTBEFORE(AP47,","),AP47)</f>
        <v/>
      </c>
      <c r="AR47" s="9" t="str">
        <f ca="1">IFERROR(TRIM(SUBSTITUTE(SUBSTITUTE(SUBSTITUTE(SUBSTITUTE(_xlfn.TEXTAFTER(AP47,",",1),AS47,""),AT47,""),AU47,""),",","")),"")</f>
        <v/>
      </c>
      <c r="AS47" s="9" t="str">
        <f ca="1">IFERROR(SUBSTITUTE(SUBSTITUTE(SUBSTITUTE(_xlfn.TEXTAFTER(AP47,",",2),AT47,""),",",""),AU47,""),"")</f>
        <v/>
      </c>
      <c r="AT47" s="9" t="str">
        <f ca="1">IFERROR(SUBSTITUTE(SUBSTITUTE(_xlfn.TEXTAFTER(AP47,",",3),AU47,""),",",""),"")</f>
        <v/>
      </c>
      <c r="AU47" s="9" t="str">
        <f ca="1">IFERROR(_xlfn.TEXTAFTER(AP47,",",4),"")</f>
        <v/>
      </c>
    </row>
    <row r="48" spans="6:65" x14ac:dyDescent="0.25">
      <c r="F48" s="3"/>
      <c r="H48" s="7"/>
      <c r="P48" t="str">
        <f t="shared" si="15"/>
        <v/>
      </c>
      <c r="Q48" t="str">
        <f t="shared" si="16"/>
        <v/>
      </c>
      <c r="R48" t="str">
        <f t="shared" si="17"/>
        <v/>
      </c>
      <c r="S48" t="str">
        <f t="array" ref="S48">IF(SUM(COUNTIF(H48,{"*Deep*";"*Bass*";"*Slap*"})),"Citas:Deep House",IF(SUM(COUNTIF(H48,{"*Lo-Fi*"})),"Citas:Lo-Fi",IF(SUM(COUNTIF(H48,{"*Tech*"})),"Citas:Tech House",IF(SUM(COUNTIF(H48,{"*Indie/Chill Dance*"})),"Citas:Indie/Chill Dance",IF(SUM(COUNTIF(H48,{"*Piano*"})),"Citas:Piano House",IF(SUM(COUNTIF(H48,{"*EDM*"})),"edm dance",IF(H48="","","")))))))</f>
        <v/>
      </c>
      <c r="T48" t="str">
        <f t="array" ref="T48">IF(SUM(COUNTIF(H48,{"*Deep*";"*Bass*";"*Slap*"})),"energetic",IF(SUM(COUNTIF(H48,{"*Lo-Fi*"})),"calm",IF(SUM(COUNTIF(H48,{"*Tech*"})),"energetic",IF(SUM(COUNTIF(H48,{"*Indie/Chill Dance*"})),"chillout",IF(SUM(COUNTIF(H48,{"*Piano*"})),"energetic",IF(SUM(COUNTIF(H48,{"*EDM*"})),"energetic",IF(H48="","","")))))))</f>
        <v/>
      </c>
      <c r="U48" t="str">
        <f t="array" ref="U48">IF(SUM(COUNTIF(H48,{"*Tech*";"*EDM*";"*Indie*";"*Deep*";"*Piano*";"*Slap*";"*Brazilian Bass*"})),"Song would perfectly fit in any dance mood playlist! Label will invest up to 5000 EUR advertising on facebook and instagram ads aswell as promoting it over label and label partners playlists, radio stations and press.",IF(SUM(COUNTIF(H48,{"*Lo-Fi*"})),"Song would perfectly fit in any Lo-Fi mood playlist! Label will invest up to 5000 EUR advertising on facebook and instagram ads aswell as promoting it over label and label partners playlists, radio stations and press.",IF(H48="","","")))</f>
        <v/>
      </c>
      <c r="V48" t="str">
        <f t="shared" si="18"/>
        <v/>
      </c>
      <c r="W48" t="str">
        <f t="shared" si="7"/>
        <v/>
      </c>
      <c r="X48" t="str">
        <f t="shared" si="23"/>
        <v/>
      </c>
      <c r="Z48" t="str">
        <f t="array" aca="1" ref="Z48" ca="1">+IFERROR(INDEX(INDIRECT((_xlfn.XLOOKUP(H48,map_location[Genre],map_location[location]))),RANK(INDIRECT((_xlfn.XLOOKUP(H48,map_location[Genre],map_location[MIN+2])),FALSE),INDIRECT((_xlfn.XLOOKUP(H48,map_location[Genre],map_location[rand]))),1)),"")</f>
        <v/>
      </c>
      <c r="AA48" t="str">
        <f t="array" ref="AA48">IF(SUM(COUNTIF(H48,{"*Deep*";"*Bass*";"*Slap*"})),"**Deep House**House**Dance**",IF(SUM(COUNTIF(H48,{"*Lo-Fi*"})),"**Lo-Fi Pop**Lo-Fi Beats**Lo-Fi**",IF(SUM(COUNTIF(H48,{"*Tech*"})),"**Deep House**Tech House**Dance**",IF(SUM(COUNTIF(H48,{"*Indie/Chill Dance*"})),"**Indie Dance**Indie Electronic**Dance Pop**",IF(SUM(COUNTIF(H48,{"*Piano*"})),"**House**Electro house**Melodic House**",IF(SUM(COUNTIF(H48,{"*EDM*"})),"**EDM**Electro house**Dance Pop**",IF(H48="","","")))))))</f>
        <v/>
      </c>
      <c r="AB48" t="str">
        <f t="array" ref="AB48">IF(SUM(COUNTIF(H48,{"*Deep*";"*Bass*";"*Slap*"})),"Energetic,Happy",IF(SUM(COUNTIF(H48,{"*Lo-Fi*"})),"Romantic,Chill",IF(SUM(COUNTIF(H48,{"*Tech*"})),"Energetic,Happy",IF(SUM(COUNTIF(H48,{"*Indie/Chill Dance*"})),"Energetic,Chill",IF(SUM(COUNTIF(H48,{"*Piano*"})),"Energetic,Happy",IF(SUM(COUNTIF(H48,{"*EDM*"})),"Energetic,Happy",IF(H48="","","")))))))</f>
        <v/>
      </c>
      <c r="AC48" t="str">
        <f t="array" ref="AC48">IF(SUM(COUNTIF(H48,{"*Deep*";"*Bass*";"*Slap*"})),"None of these",IF(SUM(COUNTIF(H48,{"*Lo-Fi*"})),"Holiday,Beats",IF(SUM(COUNTIF(H48,{"*Tech*"})),"None of these",IF(SUM(COUNTIF(H48,{"*Indie/Chill Dance*"})),"None of these",IF(SUM(COUNTIF(H48,{"*Piano*"})),"None of these",IF(SUM(COUNTIF(H48,{"*EDM*"})),"None of these",IF(H48="","","")))))))</f>
        <v/>
      </c>
      <c r="AD48" t="str">
        <f t="array" ref="AD48">IF(SUM(COUNTIF(H48,{"*Deep*";"*Bass*";"*Slap*"})),"Samples,Synthesizer,Bass Guitar,Piano,Drum Kit,Electric Guitar",IF(SUM(COUNTIF(H48,{"*Lo-Fi*"})),"Samples,Synthesizer,Bass Guitar,Piano,Drum Kit,Electric Guitar",IF(SUM(COUNTIF(H48,{"*Tech*"})),"Samples,Synthesizer,Bass Guitar,Piano,Drum Kit,Electric Guitar",IF(SUM(COUNTIF(H48,{"*Indie/Chill Dance*"})),"Samples,Synthesizer,Bass Guitar,Piano,Drum Kit,Electric Guitar",IF(SUM(COUNTIF(H48,{"*Piano*"})),"Samples,Synthesizer,Bass Guitar,Piano,Drum Kit,Electric Guitar",IF(SUM(COUNTIF(H48,{"*EDM*"})),"Samples,Synthesizer,Bass Guitar,Piano,Drum Kit,Electric Guitar",IF(H48="","","")))))))</f>
        <v/>
      </c>
      <c r="AE48" t="str">
        <f t="array" ref="AE48">IF(N48="Cover","Yes",IF(SUM(COUNTIF(N48,{"*Radio/Extended*";"*Radio*";"*Remix*"})),"No",""))</f>
        <v/>
      </c>
      <c r="AF48" t="str">
        <f t="array" ref="AF48">IF(N48="Remix","Yes",IF(SUM(COUNTIF(N48,{"*Radio/Extended*";"*Radio*";"*Cover*"})),"No",""))</f>
        <v/>
      </c>
      <c r="AG48" t="str">
        <f t="shared" si="19"/>
        <v/>
      </c>
      <c r="AH48" t="str">
        <f t="array" aca="1" ref="AH48" ca="1">+TRIM(SUBSTITUTE(SUBSTITUTE(SUBSTITUTE(SUBSTITUTE(IFERROR(AQ48&amp;" "&amp;+_xlfn.XLOOKUP(((SUM(LEN(AP48))-SUM(LEN(SUBSTITUTE(AP48,",",""))))/LEN(",")+1)&amp;H48,#REF!&amp;#REF!,#REF!)&amp;CHAR(34)&amp;B48&amp;CHAR(34)&amp;"!"&amp;_xlfn.XLOOKUP(H48,#REF!,#REF!&amp;#REF!),""),"Second",AR48),"Third",AS48),"Forth",AT48),"Fifth",AU48&amp;" "))</f>
        <v/>
      </c>
      <c r="AK48" t="str">
        <f t="array" ref="AK48">IF(SUM(COUNTIF(H48,{"*Deep*";"*Bass*";"*Slap*"})),"**Tiësto**Imanbek**",IF(SUM(COUNTIF(H48,{"*Lo-Fi*"})),"**L.Dre**Yasumu**",IF(SUM(COUNTIF(H48,{"*Tech*"})),"**Mau P**Gorgon City**",IF(SUM(COUNTIF(H48,{"*Indie/Chill Dance*"})),"**Felix Jaehn**Lost Frequencies**",IF(SUM(COUNTIF(H48,{"*Piano*"})),"**Avicii**Eric Prydz**",IF(SUM(COUNTIF(H48,{"*EDM*"})),"**David Guetta**Swedish House Mafia**",IF(H48="","","")))))))</f>
        <v/>
      </c>
      <c r="AL48" t="str">
        <f t="array" aca="1" ref="AL48" ca="1">+IFERROR(INDEX(INDIRECT((_xlfn.XLOOKUP(H48,map_country[Genre],map_country[country]))),RANK(INDIRECT((_xlfn.XLOOKUP(H48,map_country[Genre],map_country[min+3])),FALSE),INDIRECT((_xlfn.XLOOKUP(H48,map_country[Genre],map_country[rand]))),1)),"")</f>
        <v/>
      </c>
      <c r="AP48" s="9" t="str">
        <f t="shared" si="20"/>
        <v/>
      </c>
      <c r="AQ48" s="9" t="str">
        <f ca="1">IFERROR(_xlfn.TEXTBEFORE(AP48,","),AP48)</f>
        <v/>
      </c>
      <c r="AR48" s="9" t="str">
        <f ca="1">IFERROR(TRIM(SUBSTITUTE(SUBSTITUTE(SUBSTITUTE(SUBSTITUTE(_xlfn.TEXTAFTER(AP48,",",1),AS48,""),AT48,""),AU48,""),",","")),"")</f>
        <v/>
      </c>
      <c r="AS48" s="9" t="str">
        <f ca="1">IFERROR(SUBSTITUTE(SUBSTITUTE(SUBSTITUTE(_xlfn.TEXTAFTER(AP48,",",2),AT48,""),",",""),AU48,""),"")</f>
        <v/>
      </c>
      <c r="AT48" s="9" t="str">
        <f ca="1">IFERROR(SUBSTITUTE(SUBSTITUTE(_xlfn.TEXTAFTER(AP48,",",3),AU48,""),",",""),"")</f>
        <v/>
      </c>
      <c r="AU48" s="9" t="str">
        <f ca="1">IFERROR(_xlfn.TEXTAFTER(AP48,",",4),"")</f>
        <v/>
      </c>
    </row>
    <row r="49" spans="6:70" x14ac:dyDescent="0.25">
      <c r="F49" s="3"/>
      <c r="P49" t="str">
        <f t="shared" si="15"/>
        <v/>
      </c>
      <c r="Q49" t="str">
        <f t="shared" si="16"/>
        <v/>
      </c>
      <c r="R49" t="str">
        <f t="shared" si="17"/>
        <v/>
      </c>
      <c r="S49" t="str">
        <f t="array" ref="S49">IF(SUM(COUNTIF(H49,{"*Deep*";"*Bass*";"*Slap*"})),"Citas:Deep House",IF(SUM(COUNTIF(H49,{"*Lo-Fi*"})),"Citas:Lo-Fi",IF(SUM(COUNTIF(H49,{"*Tech*"})),"Citas:Tech House",IF(SUM(COUNTIF(H49,{"*Indie/Chill Dance*"})),"Citas:Indie/Chill Dance",IF(SUM(COUNTIF(H49,{"*Piano*"})),"Citas:Piano House",IF(SUM(COUNTIF(H49,{"*EDM*"})),"edm dance",IF(H49="","","")))))))</f>
        <v/>
      </c>
      <c r="T49" t="str">
        <f t="array" ref="T49">IF(SUM(COUNTIF(H49,{"*Deep*";"*Bass*";"*Slap*"})),"energetic",IF(SUM(COUNTIF(H49,{"*Lo-Fi*"})),"calm",IF(SUM(COUNTIF(H49,{"*Tech*"})),"energetic",IF(SUM(COUNTIF(H49,{"*Indie/Chill Dance*"})),"chillout",IF(SUM(COUNTIF(H49,{"*Piano*"})),"energetic",IF(SUM(COUNTIF(H49,{"*EDM*"})),"energetic",IF(H49="","","")))))))</f>
        <v/>
      </c>
      <c r="U49" t="str">
        <f t="array" ref="U49">IF(SUM(COUNTIF(H49,{"*Tech*";"*EDM*";"*Indie*";"*Deep*";"*Piano*";"*Slap*";"*Brazilian Bass*"})),"Song would perfectly fit in any dance mood playlist! Label will invest up to 5000 EUR advertising on facebook and instagram ads aswell as promoting it over label and label partners playlists, radio stations and press.",IF(SUM(COUNTIF(H49,{"*Lo-Fi*"})),"Song would perfectly fit in any Lo-Fi mood playlist! Label will invest up to 5000 EUR advertising on facebook and instagram ads aswell as promoting it over label and label partners playlists, radio stations and press.",IF(H49="","","")))</f>
        <v/>
      </c>
      <c r="V49" t="str">
        <f t="shared" si="18"/>
        <v/>
      </c>
      <c r="X49" t="str">
        <f t="shared" si="23"/>
        <v/>
      </c>
      <c r="Z49" t="str">
        <f t="array" aca="1" ref="Z49" ca="1">+IF(H49="LO-FI","",IFERROR(INDEX(INDIRECT((_xlfn.XLOOKUP(H49,map_location[Genre],map_location[location]))),RANK(INDIRECT((_xlfn.XLOOKUP(H49,map_location[Genre],map_location[min])),FALSE),INDIRECT((_xlfn.XLOOKUP(H49,map_location[Genre],map_location[rand]))),1)),""))</f>
        <v/>
      </c>
      <c r="AA49" t="str">
        <f t="array" ref="AA49">IF(SUM(COUNTIF(H49,{"*Deep*";"*Bass*";"*Slap*"})),"**Deep House**House**Dance**",IF(SUM(COUNTIF(H49,{"*Lo-Fi*"})),"**Lo-Fi Pop**Lo-Fi Beats**Lo-Fi**",IF(SUM(COUNTIF(H49,{"*Tech*"})),"**Deep House**Tech House**Dance**",IF(SUM(COUNTIF(H49,{"*Indie/Chill Dance*"})),"**Indie Dance**Indie Electronic**Dance Pop**",IF(SUM(COUNTIF(H49,{"*Piano*"})),"**House**Electro house**Melodic House**",IF(SUM(COUNTIF(H49,{"*EDM*"})),"**EDM**Electro house**Dance Pop**",IF(H49="","","")))))))</f>
        <v/>
      </c>
      <c r="AB49" t="str">
        <f t="array" ref="AB49">IF(SUM(COUNTIF(H49,{"*Deep*";"*Bass*";"*Slap*"})),"Energetic,Happy",IF(SUM(COUNTIF(H49,{"*Lo-Fi*"})),"Romantic,Chill",IF(SUM(COUNTIF(H49,{"*Tech*"})),"Energetic,Happy",IF(SUM(COUNTIF(H49,{"*Indie/Chill Dance*"})),"Energetic,Chill",IF(SUM(COUNTIF(H49,{"*Piano*"})),"Energetic,Happy",IF(SUM(COUNTIF(H49,{"*EDM*"})),"Energetic,Happy",IF(H49="","","")))))))</f>
        <v/>
      </c>
      <c r="AC49" t="str">
        <f t="array" ref="AC49">IF(SUM(COUNTIF(H49,{"*Deep*";"*Bass*";"*Slap*"})),"None of these",IF(SUM(COUNTIF(H49,{"*Lo-Fi*"})),"Holiday,Beats",IF(SUM(COUNTIF(H49,{"*Tech*"})),"None of these",IF(SUM(COUNTIF(H49,{"*Indie/Chill Dance*"})),"None of these",IF(SUM(COUNTIF(H49,{"*Piano*"})),"None of these",IF(SUM(COUNTIF(H49,{"*EDM*"})),"None of these",IF(H49="","","")))))))</f>
        <v/>
      </c>
      <c r="AD49" t="str">
        <f t="array" ref="AD49">IF(SUM(COUNTIF(H49,{"*Deep*";"*Bass*";"*Slap*"})),"Samples,Synthesizer,Bass Guitar,Piano,Drum Kit,Electric Guitar",IF(SUM(COUNTIF(H49,{"*Lo-Fi*"})),"Samples,Synthesizer,Bass Guitar,Piano,Drum Kit,Electric Guitar",IF(SUM(COUNTIF(H49,{"*Tech*"})),"Samples,Synthesizer,Bass Guitar,Piano,Drum Kit,Electric Guitar",IF(SUM(COUNTIF(H49,{"*Indie/Chill Dance*"})),"Samples,Synthesizer,Bass Guitar,Piano,Drum Kit,Electric Guitar",IF(SUM(COUNTIF(H49,{"*Piano*"})),"Samples,Synthesizer,Bass Guitar,Piano,Drum Kit,Electric Guitar",IF(SUM(COUNTIF(H49,{"*EDM*"})),"Samples,Synthesizer,Bass Guitar,Piano,Drum Kit,Electric Guitar",IF(H49="","","")))))))</f>
        <v/>
      </c>
      <c r="AE49" t="str">
        <f t="array" ref="AE49">IF(N49="Cover","Yes",IF(SUM(COUNTIF(N49,{"*Radio/Extended*";"*Radio*";"*Remix*"})),"No",""))</f>
        <v/>
      </c>
      <c r="AF49" t="str">
        <f t="array" ref="AF49">IF(N49="Remix","Yes",IF(SUM(COUNTIF(N49,{"*Radio/Extended*";"*Radio*";"*Cover*"})),"No",""))</f>
        <v/>
      </c>
      <c r="AG49" t="str">
        <f t="shared" si="19"/>
        <v/>
      </c>
      <c r="AH49" t="str">
        <f t="array" aca="1" ref="AH49" ca="1">+TRIM(SUBSTITUTE(SUBSTITUTE(SUBSTITUTE(SUBSTITUTE(IFERROR(AQ49&amp;" "&amp;+_xlfn.XLOOKUP(((SUM(LEN(AP49))-SUM(LEN(SUBSTITUTE(AP49,",",""))))/LEN(",")+1)&amp;H49,#REF!&amp;#REF!,#REF!)&amp;CHAR(34)&amp;B49&amp;CHAR(34)&amp;"!"&amp;_xlfn.XLOOKUP(H49,#REF!,#REF!&amp;#REF!),""),"Second",AR49),"Third",AS49),"Forth",AT49),"Fifth",AU49&amp;" "))</f>
        <v/>
      </c>
      <c r="AJ49" t="str">
        <f t="shared" ref="AJ49:AJ73" si="24">IF(N49="Remix","Remix",IF(N49="Cover","Cover",IF(N49="Radio","Single",IF(N49="Radio/Extended","Original",""))))</f>
        <v/>
      </c>
      <c r="AK49" t="str">
        <f t="array" ref="AK49">IF(SUM(COUNTIF(H49,{"*Deep*";"*Bass*";"*Slap*"})),"**Tiësto**Imanbek**",IF(SUM(COUNTIF(H49,{"*Lo-Fi*"})),"**L.Dre**Yasumu**",IF(SUM(COUNTIF(H49,{"*Tech*"})),"**Mau P**Gorgon City**",IF(SUM(COUNTIF(H49,{"*Indie/Chill Dance*"})),"**Felix Jaehn**Lost Frequencies**",IF(SUM(COUNTIF(H49,{"*Piano*"})),"**Avicii**Eric Prydz**",IF(SUM(COUNTIF(H49,{"*EDM*"})),"**David Guetta**Swedish House Mafia**",IF(H49="","","")))))))</f>
        <v/>
      </c>
      <c r="AL49" t="str">
        <f t="array" aca="1" ref="AL49" ca="1">+IFERROR(INDEX(INDIRECT((_xlfn.XLOOKUP(H49,map_country[Genre],map_country[country]))),RANK(INDIRECT((_xlfn.XLOOKUP(H49,map_country[Genre],map_country[min+4])),FALSE),INDIRECT((_xlfn.XLOOKUP(H49,map_country[Genre],map_country[rand]))),1)),"")</f>
        <v/>
      </c>
      <c r="AP49" s="9" t="str">
        <f t="shared" si="20"/>
        <v/>
      </c>
      <c r="AQ49" s="9" t="str">
        <f ca="1">IFERROR(_xlfn.TEXTBEFORE(AP49,","),AP49)</f>
        <v/>
      </c>
      <c r="AR49" s="9" t="str">
        <f ca="1">IFERROR(TRIM(SUBSTITUTE(SUBSTITUTE(SUBSTITUTE(SUBSTITUTE(_xlfn.TEXTAFTER(AP49,",",1),AS49,""),AT49,""),AU49,""),",","")),"")</f>
        <v/>
      </c>
      <c r="AS49" s="9" t="str">
        <f ca="1">IFERROR(SUBSTITUTE(SUBSTITUTE(SUBSTITUTE(_xlfn.TEXTAFTER(AP49,",",2),AT49,""),",",""),AU49,""),"")</f>
        <v/>
      </c>
      <c r="AT49" s="9" t="str">
        <f ca="1">IFERROR(SUBSTITUTE(SUBSTITUTE(_xlfn.TEXTAFTER(AP49,",",3),AU49,""),",",""),"")</f>
        <v/>
      </c>
      <c r="AU49" s="9" t="str">
        <f ca="1">IFERROR(_xlfn.TEXTAFTER(AP49,",",4),"")</f>
        <v/>
      </c>
    </row>
    <row r="50" spans="6:70" x14ac:dyDescent="0.25">
      <c r="F50" s="3"/>
      <c r="P50" t="str">
        <f t="shared" si="15"/>
        <v/>
      </c>
      <c r="Q50" t="str">
        <f t="shared" si="16"/>
        <v/>
      </c>
      <c r="R50" t="str">
        <f t="shared" si="17"/>
        <v/>
      </c>
      <c r="S50" t="str">
        <f t="array" ref="S50">IF(SUM(COUNTIF(H50,{"*Deep*";"*Bass*";"*Slap*"})),"Citas:Deep House",IF(SUM(COUNTIF(H50,{"*Lo-Fi*"})),"Citas:Lo-Fi",IF(SUM(COUNTIF(H50,{"*Tech*"})),"Citas:Tech House",IF(SUM(COUNTIF(H50,{"*Indie/Chill Dance*"})),"Citas:Indie/Chill Dance",IF(SUM(COUNTIF(H50,{"*Piano*"})),"Citas:Piano House",IF(SUM(COUNTIF(H50,{"*EDM*"})),"edm dance",IF(H50="","","")))))))</f>
        <v/>
      </c>
      <c r="T50" t="str">
        <f t="array" ref="T50">IF(SUM(COUNTIF(H50,{"*Deep*";"*Bass*";"*Slap*"})),"energetic",IF(SUM(COUNTIF(H50,{"*Lo-Fi*"})),"calm",IF(SUM(COUNTIF(H50,{"*Tech*"})),"energetic",IF(SUM(COUNTIF(H50,{"*Indie/Chill Dance*"})),"chillout",IF(SUM(COUNTIF(H50,{"*Piano*"})),"energetic",IF(SUM(COUNTIF(H50,{"*EDM*"})),"energetic",IF(H50="","","")))))))</f>
        <v/>
      </c>
      <c r="U50" t="str">
        <f t="array" ref="U50">IF(SUM(COUNTIF(H50,{"*Tech*";"*EDM*";"*Indie*";"*Deep*";"*Piano*";"*Slap*";"*Brazilian Bass*"})),"Song would perfectly fit in any dance mood playlist! Label will invest up to 5000 EUR advertising on facebook and instagram ads aswell as promoting it over label and label partners playlists, radio stations and press.",IF(SUM(COUNTIF(H50,{"*Lo-Fi*"})),"Song would perfectly fit in any Lo-Fi mood playlist! Label will invest up to 5000 EUR advertising on facebook and instagram ads aswell as promoting it over label and label partners playlists, radio stations and press.",IF(H50="","","")))</f>
        <v/>
      </c>
      <c r="V50" t="str">
        <f t="shared" si="18"/>
        <v/>
      </c>
      <c r="X50" t="str">
        <f t="shared" si="23"/>
        <v/>
      </c>
      <c r="Z50" t="str">
        <f t="array" aca="1" ref="Z50" ca="1">+IFERROR(INDEX(INDIRECT((_xlfn.XLOOKUP(H50,map_location[Genre],map_location[location]))),RANK(INDIRECT((_xlfn.XLOOKUP(H50,map_location[Genre],map_location[MIN+1])),FALSE),INDIRECT((_xlfn.XLOOKUP(H50,map_location[Genre],map_location[rand]))),1)),"")</f>
        <v/>
      </c>
      <c r="AA50" t="str">
        <f t="array" ref="AA50">IF(SUM(COUNTIF(H50,{"*Deep*";"*Bass*";"*Slap*"})),"**Deep House**House**Dance**",IF(SUM(COUNTIF(H50,{"*Lo-Fi*"})),"**Lo-Fi Pop**Lo-Fi Beats**Lo-Fi**",IF(SUM(COUNTIF(H50,{"*Tech*"})),"**Deep House**Tech House**Dance**",IF(SUM(COUNTIF(H50,{"*Indie/Chill Dance*"})),"**Indie Dance**Indie Electronic**Dance Pop**",IF(SUM(COUNTIF(H50,{"*Piano*"})),"**House**Electro house**Melodic House**",IF(SUM(COUNTIF(H50,{"*EDM*"})),"**EDM**Electro house**Dance Pop**",IF(H50="","","")))))))</f>
        <v/>
      </c>
      <c r="AB50" t="str">
        <f t="array" ref="AB50">IF(SUM(COUNTIF(H50,{"*Deep*";"*Bass*";"*Slap*"})),"Energetic,Happy",IF(SUM(COUNTIF(H50,{"*Lo-Fi*"})),"Romantic,Chill",IF(SUM(COUNTIF(H50,{"*Tech*"})),"Energetic,Happy",IF(SUM(COUNTIF(H50,{"*Indie/Chill Dance*"})),"Energetic,Chill",IF(SUM(COUNTIF(H50,{"*Piano*"})),"Energetic,Happy",IF(SUM(COUNTIF(H50,{"*EDM*"})),"Energetic,Happy",IF(H50="","","")))))))</f>
        <v/>
      </c>
      <c r="AC50" t="str">
        <f t="array" ref="AC50">IF(SUM(COUNTIF(H50,{"*Deep*";"*Bass*";"*Slap*"})),"None of these",IF(SUM(COUNTIF(H50,{"*Lo-Fi*"})),"Holiday,Beats",IF(SUM(COUNTIF(H50,{"*Tech*"})),"None of these",IF(SUM(COUNTIF(H50,{"*Indie/Chill Dance*"})),"None of these",IF(SUM(COUNTIF(H50,{"*Piano*"})),"None of these",IF(SUM(COUNTIF(H50,{"*EDM*"})),"None of these",IF(H50="","","")))))))</f>
        <v/>
      </c>
      <c r="AD50" t="str">
        <f t="array" ref="AD50">IF(SUM(COUNTIF(H50,{"*Deep*";"*Bass*";"*Slap*"})),"Samples,Synthesizer,Bass Guitar,Piano,Drum Kit,Electric Guitar",IF(SUM(COUNTIF(H50,{"*Lo-Fi*"})),"Samples,Synthesizer,Bass Guitar,Piano,Drum Kit,Electric Guitar",IF(SUM(COUNTIF(H50,{"*Tech*"})),"Samples,Synthesizer,Bass Guitar,Piano,Drum Kit,Electric Guitar",IF(SUM(COUNTIF(H50,{"*Indie/Chill Dance*"})),"Samples,Synthesizer,Bass Guitar,Piano,Drum Kit,Electric Guitar",IF(SUM(COUNTIF(H50,{"*Piano*"})),"Samples,Synthesizer,Bass Guitar,Piano,Drum Kit,Electric Guitar",IF(SUM(COUNTIF(H50,{"*EDM*"})),"Samples,Synthesizer,Bass Guitar,Piano,Drum Kit,Electric Guitar",IF(H50="","","")))))))</f>
        <v/>
      </c>
      <c r="AE50" t="str">
        <f t="array" ref="AE50">IF(N50="Cover","Yes",IF(SUM(COUNTIF(N50,{"*Radio/Extended*";"*Radio*";"*Remix*"})),"No",""))</f>
        <v/>
      </c>
      <c r="AF50" t="str">
        <f t="array" ref="AF50">IF(N50="Remix","Yes",IF(SUM(COUNTIF(N50,{"*Radio/Extended*";"*Radio*";"*Cover*"})),"No",""))</f>
        <v/>
      </c>
      <c r="AG50" t="str">
        <f t="shared" si="19"/>
        <v/>
      </c>
      <c r="AH50" t="str">
        <f t="array" aca="1" ref="AH50" ca="1">+TRIM(SUBSTITUTE(SUBSTITUTE(SUBSTITUTE(SUBSTITUTE(IFERROR(AQ50&amp;" "&amp;+_xlfn.XLOOKUP(((SUM(LEN(AP50))-SUM(LEN(SUBSTITUTE(AP50,",",""))))/LEN(",")+1)&amp;H50,#REF!&amp;#REF!,#REF!)&amp;CHAR(34)&amp;B50&amp;CHAR(34)&amp;"!"&amp;_xlfn.XLOOKUP(H50,#REF!,#REF!&amp;#REF!),""),"Second",AR50),"Third",AS50),"Forth",AT50),"Fifth",AU50&amp;" "))</f>
        <v/>
      </c>
      <c r="AJ50" t="str">
        <f t="shared" si="24"/>
        <v/>
      </c>
      <c r="AK50" t="str">
        <f t="array" ref="AK50">IF(SUM(COUNTIF(H50,{"*Deep*";"*Bass*";"*Slap*"})),"**Tiësto**Imanbek**",IF(SUM(COUNTIF(H50,{"*Lo-Fi*"})),"**L.Dre**Yasumu**",IF(SUM(COUNTIF(H50,{"*Tech*"})),"**Mau P**Gorgon City**",IF(SUM(COUNTIF(H50,{"*Indie/Chill Dance*"})),"**Felix Jaehn**Lost Frequencies**",IF(SUM(COUNTIF(H50,{"*Piano*"})),"**Avicii**Eric Prydz**",IF(SUM(COUNTIF(H50,{"*EDM*"})),"**David Guetta**Swedish House Mafia**",IF(H50="","","")))))))</f>
        <v/>
      </c>
      <c r="AL50" t="str">
        <f t="array" aca="1" ref="AL50" ca="1">+IFERROR(INDEX(INDIRECT((_xlfn.XLOOKUP(H50,map_country[Genre],map_country[country]))),RANK(INDIRECT((_xlfn.XLOOKUP(H50,map_country[Genre],map_country[min+5])),FALSE),INDIRECT((_xlfn.XLOOKUP(H50,map_country[Genre],map_country[rand]))),1)),"")</f>
        <v/>
      </c>
      <c r="AP50" s="9" t="str">
        <f t="shared" si="20"/>
        <v/>
      </c>
      <c r="AQ50" s="9" t="str">
        <f ca="1">IFERROR(_xlfn.TEXTBEFORE(AP50,","),AP50)</f>
        <v/>
      </c>
      <c r="AR50" s="9" t="str">
        <f ca="1">IFERROR(TRIM(SUBSTITUTE(SUBSTITUTE(SUBSTITUTE(SUBSTITUTE(_xlfn.TEXTAFTER(AP50,",",1),AS50,""),AT50,""),AU50,""),",","")),"")</f>
        <v/>
      </c>
      <c r="AS50" s="9" t="str">
        <f ca="1">IFERROR(SUBSTITUTE(SUBSTITUTE(SUBSTITUTE(_xlfn.TEXTAFTER(AP50,",",2),AT50,""),",",""),AU50,""),"")</f>
        <v/>
      </c>
      <c r="AT50" s="9" t="str">
        <f ca="1">IFERROR(SUBSTITUTE(SUBSTITUTE(_xlfn.TEXTAFTER(AP50,",",3),AU50,""),",",""),"")</f>
        <v/>
      </c>
      <c r="AU50" s="9" t="str">
        <f ca="1">IFERROR(_xlfn.TEXTAFTER(AP50,",",4),"")</f>
        <v/>
      </c>
      <c r="BE50" t="s">
        <v>7</v>
      </c>
      <c r="BF50" t="s">
        <v>88</v>
      </c>
      <c r="BG50" t="s">
        <v>138</v>
      </c>
      <c r="BH50" t="s">
        <v>90</v>
      </c>
      <c r="BI50" t="s">
        <v>91</v>
      </c>
      <c r="BJ50" t="s">
        <v>92</v>
      </c>
      <c r="BK50" t="s">
        <v>93</v>
      </c>
      <c r="BL50" t="s">
        <v>139</v>
      </c>
      <c r="BM50" t="s">
        <v>140</v>
      </c>
      <c r="BN50" t="s">
        <v>141</v>
      </c>
      <c r="BO50" t="s">
        <v>142</v>
      </c>
      <c r="BP50" t="s">
        <v>143</v>
      </c>
      <c r="BQ50" t="s">
        <v>144</v>
      </c>
      <c r="BR50" t="s">
        <v>145</v>
      </c>
    </row>
    <row r="51" spans="6:70" x14ac:dyDescent="0.25">
      <c r="F51" s="3"/>
      <c r="P51" t="str">
        <f t="shared" si="15"/>
        <v/>
      </c>
      <c r="Q51" t="str">
        <f t="shared" si="16"/>
        <v/>
      </c>
      <c r="R51" t="str">
        <f t="shared" si="17"/>
        <v/>
      </c>
      <c r="S51" t="str">
        <f t="array" ref="S51">IF(SUM(COUNTIF(H51,{"*Deep*";"*Bass*";"*Slap*"})),"Citas:Deep House",IF(SUM(COUNTIF(H51,{"*Lo-Fi*"})),"Citas:Lo-Fi",IF(SUM(COUNTIF(H51,{"*Tech*"})),"Citas:Tech House",IF(SUM(COUNTIF(H51,{"*Indie/Chill Dance*"})),"Citas:Indie/Chill Dance",IF(SUM(COUNTIF(H51,{"*Piano*"})),"Citas:Piano House",IF(SUM(COUNTIF(H51,{"*EDM*"})),"edm dance",IF(H51="","","")))))))</f>
        <v/>
      </c>
      <c r="T51" t="str">
        <f t="array" ref="T51">IF(SUM(COUNTIF(H51,{"*Deep*";"*Bass*";"*Slap*"})),"energetic",IF(SUM(COUNTIF(H51,{"*Lo-Fi*"})),"calm",IF(SUM(COUNTIF(H51,{"*Tech*"})),"energetic",IF(SUM(COUNTIF(H51,{"*Indie/Chill Dance*"})),"chillout",IF(SUM(COUNTIF(H51,{"*Piano*"})),"energetic",IF(SUM(COUNTIF(H51,{"*EDM*"})),"energetic",IF(H51="","","")))))))</f>
        <v/>
      </c>
      <c r="U51" t="str">
        <f t="array" ref="U51">IF(SUM(COUNTIF(H51,{"*Tech*";"*EDM*";"*Indie*";"*Deep*";"*Piano*";"*Slap*";"*Brazilian Bass*"})),"Song would perfectly fit in any dance mood playlist! Label will invest up to 5000 EUR advertising on facebook and instagram ads aswell as promoting it over label and label partners playlists, radio stations and press.",IF(SUM(COUNTIF(H51,{"*Lo-Fi*"})),"Song would perfectly fit in any Lo-Fi mood playlist! Label will invest up to 5000 EUR advertising on facebook and instagram ads aswell as promoting it over label and label partners playlists, radio stations and press.",IF(H51="","","")))</f>
        <v/>
      </c>
      <c r="V51" t="str">
        <f t="shared" si="18"/>
        <v/>
      </c>
      <c r="X51" t="str">
        <f t="shared" si="23"/>
        <v/>
      </c>
      <c r="Z51" t="str">
        <f t="array" aca="1" ref="Z51" ca="1">+IFERROR(INDEX(INDIRECT((_xlfn.XLOOKUP(H51,map_location[Genre],map_location[location]))),RANK(INDIRECT((_xlfn.XLOOKUP(H51,map_location[Genre],map_location[MIN+2])),FALSE),INDIRECT((_xlfn.XLOOKUP(H51,map_location[Genre],map_location[rand]))),1)),"")</f>
        <v/>
      </c>
      <c r="AA51" t="str">
        <f t="array" ref="AA51">IF(SUM(COUNTIF(H51,{"*Deep*";"*Bass*";"*Slap*"})),"**Deep House**House**Dance**",IF(SUM(COUNTIF(H51,{"*Lo-Fi*"})),"**Lo-Fi Pop**Lo-Fi Beats**Lo-Fi**",IF(SUM(COUNTIF(H51,{"*Tech*"})),"**Deep House**Tech House**Dance**",IF(SUM(COUNTIF(H51,{"*Indie/Chill Dance*"})),"**Indie Dance**Indie Electronic**Dance Pop**",IF(SUM(COUNTIF(H51,{"*Piano*"})),"**House**Electro house**Melodic House**",IF(SUM(COUNTIF(H51,{"*EDM*"})),"**EDM**Electro house**Dance Pop**",IF(H51="","","")))))))</f>
        <v/>
      </c>
      <c r="AB51" t="str">
        <f t="array" ref="AB51">IF(SUM(COUNTIF(H51,{"*Deep*";"*Bass*";"*Slap*"})),"Energetic,Happy",IF(SUM(COUNTIF(H51,{"*Lo-Fi*"})),"Romantic,Chill",IF(SUM(COUNTIF(H51,{"*Tech*"})),"Energetic,Happy",IF(SUM(COUNTIF(H51,{"*Indie/Chill Dance*"})),"Energetic,Chill",IF(SUM(COUNTIF(H51,{"*Piano*"})),"Energetic,Happy",IF(SUM(COUNTIF(H51,{"*EDM*"})),"Energetic,Happy",IF(H51="","","")))))))</f>
        <v/>
      </c>
      <c r="AC51" t="str">
        <f t="array" ref="AC51">IF(SUM(COUNTIF(H51,{"*Deep*";"*Bass*";"*Slap*"})),"None of these",IF(SUM(COUNTIF(H51,{"*Lo-Fi*"})),"Holiday,Beats",IF(SUM(COUNTIF(H51,{"*Tech*"})),"None of these",IF(SUM(COUNTIF(H51,{"*Indie/Chill Dance*"})),"None of these",IF(SUM(COUNTIF(H51,{"*Piano*"})),"None of these",IF(SUM(COUNTIF(H51,{"*EDM*"})),"None of these",IF(H51="","","")))))))</f>
        <v/>
      </c>
      <c r="AD51" t="str">
        <f t="array" ref="AD51">IF(SUM(COUNTIF(H51,{"*Deep*";"*Bass*";"*Slap*"})),"Samples,Synthesizer,Bass Guitar,Piano,Drum Kit,Electric Guitar",IF(SUM(COUNTIF(H51,{"*Lo-Fi*"})),"Samples,Synthesizer,Bass Guitar,Piano,Drum Kit,Electric Guitar",IF(SUM(COUNTIF(H51,{"*Tech*"})),"Samples,Synthesizer,Bass Guitar,Piano,Drum Kit,Electric Guitar",IF(SUM(COUNTIF(H51,{"*Indie/Chill Dance*"})),"Samples,Synthesizer,Bass Guitar,Piano,Drum Kit,Electric Guitar",IF(SUM(COUNTIF(H51,{"*Piano*"})),"Samples,Synthesizer,Bass Guitar,Piano,Drum Kit,Electric Guitar",IF(SUM(COUNTIF(H51,{"*EDM*"})),"Samples,Synthesizer,Bass Guitar,Piano,Drum Kit,Electric Guitar",IF(H51="","","")))))))</f>
        <v/>
      </c>
      <c r="AE51" t="str">
        <f t="array" ref="AE51">IF(N51="Cover","Yes",IF(SUM(COUNTIF(N51,{"*Radio/Extended*";"*Radio*";"*Remix*"})),"No",""))</f>
        <v/>
      </c>
      <c r="AF51" t="str">
        <f t="array" ref="AF51">IF(N51="Remix","Yes",IF(SUM(COUNTIF(N51,{"*Radio/Extended*";"*Radio*";"*Cover*"})),"No",""))</f>
        <v/>
      </c>
      <c r="AG51" t="str">
        <f t="shared" si="19"/>
        <v/>
      </c>
      <c r="AH51" t="str">
        <f t="array" aca="1" ref="AH51" ca="1">+TRIM(SUBSTITUTE(SUBSTITUTE(SUBSTITUTE(SUBSTITUTE(IFERROR(AQ51&amp;" "&amp;+_xlfn.XLOOKUP(((SUM(LEN(AP51))-SUM(LEN(SUBSTITUTE(AP51,",",""))))/LEN(",")+1)&amp;H51,#REF!&amp;#REF!,#REF!)&amp;CHAR(34)&amp;B51&amp;CHAR(34)&amp;"!"&amp;_xlfn.XLOOKUP(H51,#REF!,#REF!&amp;#REF!),""),"Second",AR51),"Third",AS51),"Forth",AT51),"Fifth",AU51&amp;" "))</f>
        <v/>
      </c>
      <c r="AJ51" t="str">
        <f t="shared" si="24"/>
        <v/>
      </c>
      <c r="AK51" t="str">
        <f t="array" ref="AK51">IF(SUM(COUNTIF(H51,{"*Deep*";"*Bass*";"*Slap*"})),"**Tiësto**Imanbek**",IF(SUM(COUNTIF(H51,{"*Lo-Fi*"})),"**L.Dre**Yasumu**",IF(SUM(COUNTIF(H51,{"*Tech*"})),"**Mau P**Gorgon City**",IF(SUM(COUNTIF(H51,{"*Indie/Chill Dance*"})),"**Felix Jaehn**Lost Frequencies**",IF(SUM(COUNTIF(H51,{"*Piano*"})),"**Avicii**Eric Prydz**",IF(SUM(COUNTIF(H51,{"*EDM*"})),"**David Guetta**Swedish House Mafia**",IF(H51="","","")))))))</f>
        <v/>
      </c>
      <c r="AL51" t="str">
        <f t="array" aca="1" ref="AL51" ca="1">+IFERROR(INDEX(INDIRECT((_xlfn.XLOOKUP(H51,map_country[Genre],map_country[country]))),RANK(INDIRECT((_xlfn.XLOOKUP(H51,map_country[Genre],map_country[min+6])),FALSE),INDIRECT((_xlfn.XLOOKUP(H51,map_country[Genre],map_country[rand]))),1)),"")</f>
        <v/>
      </c>
      <c r="AP51" s="9" t="str">
        <f t="shared" si="20"/>
        <v/>
      </c>
      <c r="AQ51" s="9" t="str">
        <f ca="1">IFERROR(_xlfn.TEXTBEFORE(AP51,","),AP51)</f>
        <v/>
      </c>
      <c r="AR51" s="9" t="str">
        <f ca="1">IFERROR(TRIM(SUBSTITUTE(SUBSTITUTE(SUBSTITUTE(SUBSTITUTE(_xlfn.TEXTAFTER(AP51,",",1),AS51,""),AT51,""),AU51,""),",","")),"")</f>
        <v/>
      </c>
      <c r="AS51" s="9" t="str">
        <f ca="1">IFERROR(SUBSTITUTE(SUBSTITUTE(SUBSTITUTE(_xlfn.TEXTAFTER(AP51,",",2),AT51,""),",",""),AU51,""),"")</f>
        <v/>
      </c>
      <c r="AT51" s="9" t="str">
        <f ca="1">IFERROR(SUBSTITUTE(SUBSTITUTE(_xlfn.TEXTAFTER(AP51,",",3),AU51,""),",",""),"")</f>
        <v/>
      </c>
      <c r="AU51" s="9" t="str">
        <f ca="1">IFERROR(_xlfn.TEXTAFTER(AP51,",",4),"")</f>
        <v/>
      </c>
      <c r="BE51" t="s">
        <v>46</v>
      </c>
      <c r="BF51" t="s">
        <v>146</v>
      </c>
      <c r="BG51" t="s">
        <v>147</v>
      </c>
      <c r="BH51" t="str">
        <f>+map_country[[#This Row],[rand]]</f>
        <v>deep_country[rand]</v>
      </c>
      <c r="BI51" t="str">
        <f>"R"&amp;ROW(BC21)&amp;"C"&amp;COLUMN(BC21)</f>
        <v>R21C55</v>
      </c>
      <c r="BJ51" t="str">
        <f>+SUBSTITUTE(map_country[[#This Row],[min]],MID(map_country[[#This Row],[min]],2,2),MID(map_country[[#This Row],[min]],2,2)+1)</f>
        <v>R22C55</v>
      </c>
      <c r="BK51" t="str">
        <f>+SUBSTITUTE(map_country[[#This Row],[min]],MID(map_country[[#This Row],[min]],2,2),MID(map_country[[#This Row],[min]],2,2)+2)</f>
        <v>R23C55</v>
      </c>
      <c r="BL51" t="str">
        <f>+SUBSTITUTE(map_country[[#This Row],[min]],MID(map_country[[#This Row],[min]],2,2),MID(map_country[[#This Row],[min]],2,2)+3)</f>
        <v>R24C55</v>
      </c>
      <c r="BM51" t="str">
        <f>+SUBSTITUTE(map_country[[#This Row],[min]],MID(map_country[[#This Row],[min]],2,2),MID(map_country[[#This Row],[min]],2,2)+4)</f>
        <v>R25C55</v>
      </c>
      <c r="BN51" t="str">
        <f>+SUBSTITUTE(map_country[[#This Row],[min]],MID(map_country[[#This Row],[min]],2,2),MID(map_country[[#This Row],[min]],2,2)+5)</f>
        <v>R26C55</v>
      </c>
      <c r="BO51" t="str">
        <f>+SUBSTITUTE(map_country[[#This Row],[min]],MID(map_country[[#This Row],[min]],2,2),MID(map_country[[#This Row],[min]],2,2)+6)</f>
        <v>R27C55</v>
      </c>
      <c r="BP51" t="str">
        <f>+SUBSTITUTE(map_country[[#This Row],[min]],MID(map_country[[#This Row],[min]],2,2),MID(map_country[[#This Row],[min]],2,2)+7)</f>
        <v>R28C55</v>
      </c>
      <c r="BQ51" t="str">
        <f>+SUBSTITUTE(map_country[[#This Row],[min]],MID(map_country[[#This Row],[min]],2,2),MID(map_country[[#This Row],[min]],2,2)+8)</f>
        <v>R29C55</v>
      </c>
      <c r="BR51" t="str">
        <f>+SUBSTITUTE(map_country[[#This Row],[min]],MID(map_country[[#This Row],[min]],2,2),MID(map_country[[#This Row],[min]],2,2)+9)</f>
        <v>R30C55</v>
      </c>
    </row>
    <row r="52" spans="6:70" x14ac:dyDescent="0.25">
      <c r="F52" s="3"/>
      <c r="P52" t="str">
        <f t="shared" si="15"/>
        <v/>
      </c>
      <c r="Q52" t="str">
        <f t="shared" si="16"/>
        <v/>
      </c>
      <c r="R52" t="str">
        <f t="shared" si="17"/>
        <v/>
      </c>
      <c r="S52" t="str">
        <f t="array" ref="S52">IF(SUM(COUNTIF(H52,{"*Deep*";"*Bass*";"*Slap*"})),"Citas:Deep House",IF(SUM(COUNTIF(H52,{"*Lo-Fi*"})),"Citas:Lo-Fi",IF(SUM(COUNTIF(H52,{"*Tech*"})),"Citas:Tech House",IF(SUM(COUNTIF(H52,{"*Indie/Chill Dance*"})),"Citas:Indie/Chill Dance",IF(SUM(COUNTIF(H52,{"*Piano*"})),"Citas:Piano House",IF(SUM(COUNTIF(H52,{"*EDM*"})),"edm dance",IF(H52="","","")))))))</f>
        <v/>
      </c>
      <c r="T52" t="str">
        <f t="array" ref="T52">IF(SUM(COUNTIF(H52,{"*Deep*";"*Bass*";"*Slap*"})),"energetic",IF(SUM(COUNTIF(H52,{"*Lo-Fi*"})),"calm",IF(SUM(COUNTIF(H52,{"*Tech*"})),"energetic",IF(SUM(COUNTIF(H52,{"*Indie/Chill Dance*"})),"chillout",IF(SUM(COUNTIF(H52,{"*Piano*"})),"energetic",IF(SUM(COUNTIF(H52,{"*EDM*"})),"energetic",IF(H52="","","")))))))</f>
        <v/>
      </c>
      <c r="U52" t="str">
        <f t="array" ref="U52">IF(SUM(COUNTIF(H52,{"*Tech*";"*EDM*";"*Indie*";"*Deep*";"*Piano*";"*Slap*";"*Brazilian Bass*"})),"Song would perfectly fit in any dance mood playlist! Label will invest up to 5000 EUR advertising on facebook and instagram ads aswell as promoting it over label and label partners playlists, radio stations and press.",IF(SUM(COUNTIF(H52,{"*Lo-Fi*"})),"Song would perfectly fit in any Lo-Fi mood playlist! Label will invest up to 5000 EUR advertising on facebook and instagram ads aswell as promoting it over label and label partners playlists, radio stations and press.",IF(H52="","","")))</f>
        <v/>
      </c>
      <c r="V52" t="str">
        <f t="shared" si="18"/>
        <v/>
      </c>
      <c r="X52" t="str">
        <f t="shared" si="23"/>
        <v/>
      </c>
      <c r="Z52" t="str">
        <f t="array" aca="1" ref="Z52" ca="1">+IF(H52="LO-FI","",IFERROR(INDEX(INDIRECT((_xlfn.XLOOKUP(H52,map_location[Genre],map_location[location]))),RANK(INDIRECT((_xlfn.XLOOKUP(H52,map_location[Genre],map_location[min])),FALSE),INDIRECT((_xlfn.XLOOKUP(H52,map_location[Genre],map_location[rand]))),1)),""))</f>
        <v/>
      </c>
      <c r="AA52" t="str">
        <f t="array" ref="AA52">IF(SUM(COUNTIF(H52,{"*Deep*";"*Bass*";"*Slap*"})),"**Deep House**House**Dance**",IF(SUM(COUNTIF(H52,{"*Lo-Fi*"})),"**Lo-Fi Pop**Lo-Fi Beats**Lo-Fi**",IF(SUM(COUNTIF(H52,{"*Tech*"})),"**Deep House**Tech House**Dance**",IF(SUM(COUNTIF(H52,{"*Indie/Chill Dance*"})),"**Indie Dance**Indie Electronic**Dance Pop**",IF(SUM(COUNTIF(H52,{"*Piano*"})),"**House**Electro house**Melodic House**",IF(SUM(COUNTIF(H52,{"*EDM*"})),"**EDM**Electro house**Dance Pop**",IF(H52="","","")))))))</f>
        <v/>
      </c>
      <c r="AB52" t="str">
        <f t="array" ref="AB52">IF(SUM(COUNTIF(H52,{"*Deep*";"*Bass*";"*Slap*"})),"Energetic,Happy",IF(SUM(COUNTIF(H52,{"*Lo-Fi*"})),"Romantic,Chill",IF(SUM(COUNTIF(H52,{"*Tech*"})),"Energetic,Happy",IF(SUM(COUNTIF(H52,{"*Indie/Chill Dance*"})),"Energetic,Chill",IF(SUM(COUNTIF(H52,{"*Piano*"})),"Energetic,Happy",IF(SUM(COUNTIF(H52,{"*EDM*"})),"Energetic,Happy",IF(H52="","","")))))))</f>
        <v/>
      </c>
      <c r="AC52" t="str">
        <f t="array" ref="AC52">IF(SUM(COUNTIF(H52,{"*Deep*";"*Bass*";"*Slap*"})),"None of these",IF(SUM(COUNTIF(H52,{"*Lo-Fi*"})),"Holiday,Beats",IF(SUM(COUNTIF(H52,{"*Tech*"})),"None of these",IF(SUM(COUNTIF(H52,{"*Indie/Chill Dance*"})),"None of these",IF(SUM(COUNTIF(H52,{"*Piano*"})),"None of these",IF(SUM(COUNTIF(H52,{"*EDM*"})),"None of these",IF(H52="","","")))))))</f>
        <v/>
      </c>
      <c r="AD52" t="str">
        <f t="array" ref="AD52">IF(SUM(COUNTIF(H52,{"*Deep*";"*Bass*";"*Slap*"})),"Samples,Synthesizer,Bass Guitar,Piano,Drum Kit,Electric Guitar",IF(SUM(COUNTIF(H52,{"*Lo-Fi*"})),"Samples,Synthesizer,Bass Guitar,Piano,Drum Kit,Electric Guitar",IF(SUM(COUNTIF(H52,{"*Tech*"})),"Samples,Synthesizer,Bass Guitar,Piano,Drum Kit,Electric Guitar",IF(SUM(COUNTIF(H52,{"*Indie/Chill Dance*"})),"Samples,Synthesizer,Bass Guitar,Piano,Drum Kit,Electric Guitar",IF(SUM(COUNTIF(H52,{"*Piano*"})),"Samples,Synthesizer,Bass Guitar,Piano,Drum Kit,Electric Guitar",IF(SUM(COUNTIF(H52,{"*EDM*"})),"Samples,Synthesizer,Bass Guitar,Piano,Drum Kit,Electric Guitar",IF(H52="","","")))))))</f>
        <v/>
      </c>
      <c r="AE52" t="str">
        <f t="array" ref="AE52">IF(N52="Cover","Yes",IF(SUM(COUNTIF(N52,{"*Radio/Extended*";"*Radio*";"*Remix*"})),"No",""))</f>
        <v/>
      </c>
      <c r="AF52" t="str">
        <f t="array" ref="AF52">IF(N52="Remix","Yes",IF(SUM(COUNTIF(N52,{"*Radio/Extended*";"*Radio*";"*Cover*"})),"No",""))</f>
        <v/>
      </c>
      <c r="AG52" t="str">
        <f t="shared" si="19"/>
        <v/>
      </c>
      <c r="AH52" t="str">
        <f t="array" aca="1" ref="AH52" ca="1">+TRIM(SUBSTITUTE(SUBSTITUTE(SUBSTITUTE(SUBSTITUTE(IFERROR(AQ52&amp;" "&amp;+_xlfn.XLOOKUP(((SUM(LEN(AP52))-SUM(LEN(SUBSTITUTE(AP52,",",""))))/LEN(",")+1)&amp;H52,#REF!&amp;#REF!,#REF!)&amp;CHAR(34)&amp;B52&amp;CHAR(34)&amp;"!"&amp;_xlfn.XLOOKUP(H52,#REF!,#REF!&amp;#REF!),""),"Second",AR52),"Third",AS52),"Forth",AT52),"Fifth",AU52&amp;" "))</f>
        <v/>
      </c>
      <c r="AJ52" t="str">
        <f t="shared" si="24"/>
        <v/>
      </c>
      <c r="AK52" t="str">
        <f t="array" ref="AK52">IF(SUM(COUNTIF(H52,{"*Deep*";"*Bass*";"*Slap*"})),"**Tiësto**Imanbek**",IF(SUM(COUNTIF(H52,{"*Lo-Fi*"})),"**L.Dre**Yasumu**",IF(SUM(COUNTIF(H52,{"*Tech*"})),"**Mau P**Gorgon City**",IF(SUM(COUNTIF(H52,{"*Indie/Chill Dance*"})),"**Felix Jaehn**Lost Frequencies**",IF(SUM(COUNTIF(H52,{"*Piano*"})),"**Avicii**Eric Prydz**",IF(SUM(COUNTIF(H52,{"*EDM*"})),"**David Guetta**Swedish House Mafia**",IF(H52="","","")))))))</f>
        <v/>
      </c>
      <c r="AL52" t="str">
        <f t="array" aca="1" ref="AL52" ca="1">+IFERROR(INDEX(INDIRECT((_xlfn.XLOOKUP(H52,map_country[Genre],map_country[country]))),RANK(INDIRECT((_xlfn.XLOOKUP(H52,map_country[Genre],map_country[min+7])),FALSE),INDIRECT((_xlfn.XLOOKUP(H52,map_country[Genre],map_country[rand]))),1)),"")</f>
        <v/>
      </c>
      <c r="AP52" s="9" t="str">
        <f t="shared" si="20"/>
        <v/>
      </c>
      <c r="AQ52" s="9" t="str">
        <f ca="1">IFERROR(_xlfn.TEXTBEFORE(AP52,","),AP52)</f>
        <v/>
      </c>
      <c r="AR52" s="9" t="str">
        <f ca="1">IFERROR(TRIM(SUBSTITUTE(SUBSTITUTE(SUBSTITUTE(SUBSTITUTE(_xlfn.TEXTAFTER(AP52,",",1),AS52,""),AT52,""),AU52,""),",","")),"")</f>
        <v/>
      </c>
      <c r="AS52" s="9" t="str">
        <f ca="1">IFERROR(SUBSTITUTE(SUBSTITUTE(SUBSTITUTE(_xlfn.TEXTAFTER(AP52,",",2),AT52,""),",",""),AU52,""),"")</f>
        <v/>
      </c>
      <c r="AT52" s="9" t="str">
        <f ca="1">IFERROR(SUBSTITUTE(SUBSTITUTE(_xlfn.TEXTAFTER(AP52,",",3),AU52,""),",",""),"")</f>
        <v/>
      </c>
      <c r="AU52" s="9" t="str">
        <f ca="1">IFERROR(_xlfn.TEXTAFTER(AP52,",",4),"")</f>
        <v/>
      </c>
      <c r="BE52" t="s">
        <v>48</v>
      </c>
      <c r="BF52" t="s">
        <v>148</v>
      </c>
      <c r="BG52" t="s">
        <v>149</v>
      </c>
      <c r="BH52" t="str">
        <f>+map_country[[#This Row],[rand]]</f>
        <v>tech_country[rand]</v>
      </c>
      <c r="BI52" t="str">
        <f>"R"&amp;ROW(BH21)&amp;"C"&amp;COLUMN(BH21)</f>
        <v>R21C60</v>
      </c>
      <c r="BJ52" t="str">
        <f>+SUBSTITUTE(map_country[[#This Row],[min]],MID(map_country[[#This Row],[min]],2,2),MID(map_country[[#This Row],[min]],2,2)+1)</f>
        <v>R22C60</v>
      </c>
      <c r="BK52" t="str">
        <f>+SUBSTITUTE(map_country[[#This Row],[min]],MID(map_country[[#This Row],[min]],2,2),MID(map_country[[#This Row],[min]],2,2)+2)</f>
        <v>R23C60</v>
      </c>
      <c r="BL52" t="str">
        <f>+SUBSTITUTE(map_country[[#This Row],[min]],MID(map_country[[#This Row],[min]],2,2),MID(map_country[[#This Row],[min]],2,2)+3)</f>
        <v>R24C60</v>
      </c>
      <c r="BM52" t="str">
        <f>+SUBSTITUTE(map_country[[#This Row],[min]],MID(map_country[[#This Row],[min]],2,2),MID(map_country[[#This Row],[min]],2,2)+4)</f>
        <v>R25C60</v>
      </c>
      <c r="BN52" t="str">
        <f>+SUBSTITUTE(map_country[[#This Row],[min]],MID(map_country[[#This Row],[min]],2,2),MID(map_country[[#This Row],[min]],2,2)+5)</f>
        <v>R26C60</v>
      </c>
      <c r="BO52" t="str">
        <f>+SUBSTITUTE(map_country[[#This Row],[min]],MID(map_country[[#This Row],[min]],2,2),MID(map_country[[#This Row],[min]],2,2)+6)</f>
        <v>R27C60</v>
      </c>
      <c r="BP52" t="str">
        <f>+SUBSTITUTE(map_country[[#This Row],[min]],MID(map_country[[#This Row],[min]],2,2),MID(map_country[[#This Row],[min]],2,2)+7)</f>
        <v>R28C60</v>
      </c>
      <c r="BQ52" t="str">
        <f>+SUBSTITUTE(map_country[[#This Row],[min]],MID(map_country[[#This Row],[min]],2,2),MID(map_country[[#This Row],[min]],2,2)+8)</f>
        <v>R29C60</v>
      </c>
      <c r="BR52" t="str">
        <f>+SUBSTITUTE(map_country[[#This Row],[min]],MID(map_country[[#This Row],[min]],2,2),MID(map_country[[#This Row],[min]],2,2)+9)</f>
        <v>R30C60</v>
      </c>
    </row>
    <row r="53" spans="6:70" x14ac:dyDescent="0.25">
      <c r="F53" s="3"/>
      <c r="P53" t="str">
        <f t="shared" si="15"/>
        <v/>
      </c>
      <c r="Q53" t="str">
        <f t="shared" si="16"/>
        <v/>
      </c>
      <c r="R53" t="str">
        <f t="shared" si="17"/>
        <v/>
      </c>
      <c r="S53" t="str">
        <f t="array" ref="S53">IF(SUM(COUNTIF(H53,{"*Deep*";"*Bass*";"*Slap*"})),"Citas:Deep House",IF(SUM(COUNTIF(H53,{"*Lo-Fi*"})),"Citas:Lo-Fi",IF(SUM(COUNTIF(H53,{"*Tech*"})),"Citas:Tech House",IF(SUM(COUNTIF(H53,{"*Indie/Chill Dance*"})),"Citas:Indie/Chill Dance",IF(SUM(COUNTIF(H53,{"*Piano*"})),"Citas:Piano House",IF(SUM(COUNTIF(H53,{"*EDM*"})),"edm dance",IF(H53="","","")))))))</f>
        <v/>
      </c>
      <c r="T53" t="str">
        <f t="array" ref="T53">IF(SUM(COUNTIF(H53,{"*Deep*";"*Bass*";"*Slap*"})),"energetic",IF(SUM(COUNTIF(H53,{"*Lo-Fi*"})),"calm",IF(SUM(COUNTIF(H53,{"*Tech*"})),"energetic",IF(SUM(COUNTIF(H53,{"*Indie/Chill Dance*"})),"chillout",IF(SUM(COUNTIF(H53,{"*Piano*"})),"energetic",IF(SUM(COUNTIF(H53,{"*EDM*"})),"energetic",IF(H53="","","")))))))</f>
        <v/>
      </c>
      <c r="U53" t="str">
        <f t="array" ref="U53">IF(SUM(COUNTIF(H53,{"*Tech*";"*EDM*";"*Indie*";"*Deep*";"*Piano*";"*Slap*";"*Brazilian Bass*"})),"Song would perfectly fit in any dance mood playlist! Label will invest up to 5000 EUR advertising on facebook and instagram ads aswell as promoting it over label and label partners playlists, radio stations and press.",IF(SUM(COUNTIF(H53,{"*Lo-Fi*"})),"Song would perfectly fit in any Lo-Fi mood playlist! Label will invest up to 5000 EUR advertising on facebook and instagram ads aswell as promoting it over label and label partners playlists, radio stations and press.",IF(H53="","","")))</f>
        <v/>
      </c>
      <c r="V53" t="str">
        <f t="shared" si="18"/>
        <v/>
      </c>
      <c r="X53" t="str">
        <f t="shared" si="23"/>
        <v/>
      </c>
      <c r="Z53" t="str">
        <f t="array" aca="1" ref="Z53" ca="1">+IFERROR(INDEX(INDIRECT((_xlfn.XLOOKUP(H53,map_location[Genre],map_location[location]))),RANK(INDIRECT((_xlfn.XLOOKUP(H53,map_location[Genre],map_location[MIN+1])),FALSE),INDIRECT((_xlfn.XLOOKUP(H53,map_location[Genre],map_location[rand]))),1)),"")</f>
        <v/>
      </c>
      <c r="AA53" t="str">
        <f t="array" ref="AA53">IF(SUM(COUNTIF(H53,{"*Deep*";"*Bass*";"*Slap*"})),"**Deep House**House**Dance**",IF(SUM(COUNTIF(H53,{"*Lo-Fi*"})),"**Lo-Fi Pop**Lo-Fi Beats**Lo-Fi**",IF(SUM(COUNTIF(H53,{"*Tech*"})),"**Deep House**Tech House**Dance**",IF(SUM(COUNTIF(H53,{"*Indie/Chill Dance*"})),"**Indie Dance**Indie Electronic**Dance Pop**",IF(SUM(COUNTIF(H53,{"*Piano*"})),"**House**Electro house**Melodic House**",IF(SUM(COUNTIF(H53,{"*EDM*"})),"**EDM**Electro house**Dance Pop**",IF(H53="","","")))))))</f>
        <v/>
      </c>
      <c r="AB53" t="str">
        <f t="array" ref="AB53">IF(SUM(COUNTIF(H53,{"*Deep*";"*Bass*";"*Slap*"})),"Energetic,Happy",IF(SUM(COUNTIF(H53,{"*Lo-Fi*"})),"Romantic,Chill",IF(SUM(COUNTIF(H53,{"*Tech*"})),"Energetic,Happy",IF(SUM(COUNTIF(H53,{"*Indie/Chill Dance*"})),"Energetic,Chill",IF(SUM(COUNTIF(H53,{"*Piano*"})),"Energetic,Happy",IF(SUM(COUNTIF(H53,{"*EDM*"})),"Energetic,Happy",IF(H53="","","")))))))</f>
        <v/>
      </c>
      <c r="AC53" t="str">
        <f t="array" ref="AC53">IF(SUM(COUNTIF(H53,{"*Deep*";"*Bass*";"*Slap*"})),"None of these",IF(SUM(COUNTIF(H53,{"*Lo-Fi*"})),"Holiday,Beats",IF(SUM(COUNTIF(H53,{"*Tech*"})),"None of these",IF(SUM(COUNTIF(H53,{"*Indie/Chill Dance*"})),"None of these",IF(SUM(COUNTIF(H53,{"*Piano*"})),"None of these",IF(SUM(COUNTIF(H53,{"*EDM*"})),"None of these",IF(H53="","","")))))))</f>
        <v/>
      </c>
      <c r="AD53" t="str">
        <f t="array" ref="AD53">IF(SUM(COUNTIF(H53,{"*Deep*";"*Bass*";"*Slap*"})),"Samples,Synthesizer,Bass Guitar,Piano,Drum Kit,Electric Guitar",IF(SUM(COUNTIF(H53,{"*Lo-Fi*"})),"Samples,Synthesizer,Bass Guitar,Piano,Drum Kit,Electric Guitar",IF(SUM(COUNTIF(H53,{"*Tech*"})),"Samples,Synthesizer,Bass Guitar,Piano,Drum Kit,Electric Guitar",IF(SUM(COUNTIF(H53,{"*Indie/Chill Dance*"})),"Samples,Synthesizer,Bass Guitar,Piano,Drum Kit,Electric Guitar",IF(SUM(COUNTIF(H53,{"*Piano*"})),"Samples,Synthesizer,Bass Guitar,Piano,Drum Kit,Electric Guitar",IF(SUM(COUNTIF(H53,{"*EDM*"})),"Samples,Synthesizer,Bass Guitar,Piano,Drum Kit,Electric Guitar",IF(H53="","","")))))))</f>
        <v/>
      </c>
      <c r="AE53" t="str">
        <f t="array" ref="AE53">IF(N53="Cover","Yes",IF(SUM(COUNTIF(N53,{"*Radio/Extended*";"*Radio*";"*Remix*"})),"No",""))</f>
        <v/>
      </c>
      <c r="AF53" t="str">
        <f t="array" ref="AF53">IF(N53="Remix","Yes",IF(SUM(COUNTIF(N53,{"*Radio/Extended*";"*Radio*";"*Cover*"})),"No",""))</f>
        <v/>
      </c>
      <c r="AG53" t="str">
        <f t="shared" si="19"/>
        <v/>
      </c>
      <c r="AH53" t="str">
        <f t="array" aca="1" ref="AH53" ca="1">+TRIM(SUBSTITUTE(SUBSTITUTE(SUBSTITUTE(SUBSTITUTE(IFERROR(AQ53&amp;" "&amp;+_xlfn.XLOOKUP(((SUM(LEN(AP53))-SUM(LEN(SUBSTITUTE(AP53,",",""))))/LEN(",")+1)&amp;H53,#REF!&amp;#REF!,#REF!)&amp;CHAR(34)&amp;B53&amp;CHAR(34)&amp;"!"&amp;_xlfn.XLOOKUP(H53,#REF!,#REF!&amp;#REF!),""),"Second",AR53),"Third",AS53),"Forth",AT53),"Fifth",AU53&amp;" "))</f>
        <v/>
      </c>
      <c r="AJ53" t="str">
        <f t="shared" si="24"/>
        <v/>
      </c>
      <c r="AK53" t="str">
        <f t="array" ref="AK53">IF(SUM(COUNTIF(H53,{"*Deep*";"*Bass*";"*Slap*"})),"**Tiësto**Imanbek**",IF(SUM(COUNTIF(H53,{"*Lo-Fi*"})),"**L.Dre**Yasumu**",IF(SUM(COUNTIF(H53,{"*Tech*"})),"**Mau P**Gorgon City**",IF(SUM(COUNTIF(H53,{"*Indie/Chill Dance*"})),"**Felix Jaehn**Lost Frequencies**",IF(SUM(COUNTIF(H53,{"*Piano*"})),"**Avicii**Eric Prydz**",IF(SUM(COUNTIF(H53,{"*EDM*"})),"**David Guetta**Swedish House Mafia**",IF(H53="","","")))))))</f>
        <v/>
      </c>
      <c r="AL53" t="str">
        <f t="array" aca="1" ref="AL53" ca="1">+IFERROR(INDEX(INDIRECT((_xlfn.XLOOKUP(H53,map_country[Genre],map_country[country]))),RANK(INDIRECT((_xlfn.XLOOKUP(H53,map_country[Genre],map_country[min+8])),FALSE),INDIRECT((_xlfn.XLOOKUP(H53,map_country[Genre],map_country[rand]))),1)),"")</f>
        <v/>
      </c>
      <c r="AP53" s="9" t="str">
        <f t="shared" si="20"/>
        <v/>
      </c>
      <c r="AQ53" s="9" t="str">
        <f ca="1">IFERROR(_xlfn.TEXTBEFORE(AP53,","),AP53)</f>
        <v/>
      </c>
      <c r="AR53" s="9" t="str">
        <f ca="1">IFERROR(TRIM(SUBSTITUTE(SUBSTITUTE(SUBSTITUTE(SUBSTITUTE(_xlfn.TEXTAFTER(AP53,",",1),AS53,""),AT53,""),AU53,""),",","")),"")</f>
        <v/>
      </c>
      <c r="AS53" s="9" t="str">
        <f ca="1">IFERROR(SUBSTITUTE(SUBSTITUTE(SUBSTITUTE(_xlfn.TEXTAFTER(AP53,",",2),AT53,""),",",""),AU53,""),"")</f>
        <v/>
      </c>
      <c r="AT53" s="9" t="str">
        <f ca="1">IFERROR(SUBSTITUTE(SUBSTITUTE(_xlfn.TEXTAFTER(AP53,",",3),AU53,""),",",""),"")</f>
        <v/>
      </c>
      <c r="AU53" s="9" t="str">
        <f ca="1">IFERROR(_xlfn.TEXTAFTER(AP53,",",4),"")</f>
        <v/>
      </c>
      <c r="BE53" t="s">
        <v>50</v>
      </c>
      <c r="BF53" t="s">
        <v>150</v>
      </c>
      <c r="BG53" t="s">
        <v>151</v>
      </c>
      <c r="BH53" t="str">
        <f>+map_country[[#This Row],[rand]]</f>
        <v>piano_country[rand]</v>
      </c>
      <c r="BI53" t="str">
        <f>"R"&amp;ROW(BL21)&amp;"C"&amp;COLUMN(BL21)</f>
        <v>R21C64</v>
      </c>
      <c r="BJ53" t="str">
        <f>+SUBSTITUTE(map_country[[#This Row],[min]],MID(map_country[[#This Row],[min]],2,2),MID(map_country[[#This Row],[min]],2,2)+1)</f>
        <v>R22C64</v>
      </c>
      <c r="BK53" t="str">
        <f>+SUBSTITUTE(map_country[[#This Row],[min]],MID(map_country[[#This Row],[min]],2,2),MID(map_country[[#This Row],[min]],2,2)+2)</f>
        <v>R23C64</v>
      </c>
      <c r="BL53" t="str">
        <f>+SUBSTITUTE(map_country[[#This Row],[min]],MID(map_country[[#This Row],[min]],2,2),MID(map_country[[#This Row],[min]],2,2)+3)</f>
        <v>R24C64</v>
      </c>
      <c r="BM53" t="str">
        <f>+SUBSTITUTE(map_country[[#This Row],[min]],MID(map_country[[#This Row],[min]],2,2),MID(map_country[[#This Row],[min]],2,2)+4)</f>
        <v>R25C64</v>
      </c>
      <c r="BN53" t="str">
        <f>+SUBSTITUTE(map_country[[#This Row],[min]],MID(map_country[[#This Row],[min]],2,2),MID(map_country[[#This Row],[min]],2,2)+5)</f>
        <v>R26C64</v>
      </c>
      <c r="BO53" t="str">
        <f>+SUBSTITUTE(map_country[[#This Row],[min]],MID(map_country[[#This Row],[min]],2,2),MID(map_country[[#This Row],[min]],2,2)+6)</f>
        <v>R27C64</v>
      </c>
      <c r="BP53" t="str">
        <f>+SUBSTITUTE(map_country[[#This Row],[min]],MID(map_country[[#This Row],[min]],2,2),MID(map_country[[#This Row],[min]],2,2)+7)</f>
        <v>R28C64</v>
      </c>
      <c r="BQ53" t="str">
        <f>+SUBSTITUTE(map_country[[#This Row],[min]],MID(map_country[[#This Row],[min]],2,2),MID(map_country[[#This Row],[min]],2,2)+8)</f>
        <v>R29C64</v>
      </c>
      <c r="BR53" t="str">
        <f>+SUBSTITUTE(map_country[[#This Row],[min]],MID(map_country[[#This Row],[min]],2,2),MID(map_country[[#This Row],[min]],2,2)+9)</f>
        <v>R30C64</v>
      </c>
    </row>
    <row r="54" spans="6:70" x14ac:dyDescent="0.25">
      <c r="F54" s="3"/>
      <c r="P54" t="str">
        <f t="shared" si="15"/>
        <v/>
      </c>
      <c r="Q54" t="str">
        <f t="shared" si="16"/>
        <v/>
      </c>
      <c r="R54" t="str">
        <f t="shared" si="17"/>
        <v/>
      </c>
      <c r="S54" t="str">
        <f t="array" ref="S54">IF(SUM(COUNTIF(H54,{"*Deep*";"*Bass*";"*Slap*"})),"Citas:Deep House",IF(SUM(COUNTIF(H54,{"*Lo-Fi*"})),"Citas:Lo-Fi",IF(SUM(COUNTIF(H54,{"*Tech*"})),"Citas:Tech House",IF(SUM(COUNTIF(H54,{"*Indie/Chill Dance*"})),"Citas:Indie/Chill Dance",IF(SUM(COUNTIF(H54,{"*Piano*"})),"Citas:Piano House",IF(SUM(COUNTIF(H54,{"*EDM*"})),"edm dance",IF(H54="","","")))))))</f>
        <v/>
      </c>
      <c r="T54" t="str">
        <f t="array" ref="T54">IF(SUM(COUNTIF(H54,{"*Deep*";"*Bass*";"*Slap*"})),"energetic",IF(SUM(COUNTIF(H54,{"*Lo-Fi*"})),"calm",IF(SUM(COUNTIF(H54,{"*Tech*"})),"energetic",IF(SUM(COUNTIF(H54,{"*Indie/Chill Dance*"})),"chillout",IF(SUM(COUNTIF(H54,{"*Piano*"})),"energetic",IF(SUM(COUNTIF(H54,{"*EDM*"})),"energetic",IF(H54="","","")))))))</f>
        <v/>
      </c>
      <c r="U54" t="str">
        <f t="array" ref="U54">IF(SUM(COUNTIF(H54,{"*Tech*";"*EDM*";"*Indie*";"*Deep*";"*Piano*";"*Slap*";"*Brazilian Bass*"})),"Song would perfectly fit in any dance mood playlist! Label will invest up to 5000 EUR advertising on facebook and instagram ads aswell as promoting it over label and label partners playlists, radio stations and press.",IF(SUM(COUNTIF(H54,{"*Lo-Fi*"})),"Song would perfectly fit in any Lo-Fi mood playlist! Label will invest up to 5000 EUR advertising on facebook and instagram ads aswell as promoting it over label and label partners playlists, radio stations and press.",IF(H54="","","")))</f>
        <v/>
      </c>
      <c r="V54" t="str">
        <f t="shared" si="18"/>
        <v/>
      </c>
      <c r="X54" t="str">
        <f t="shared" si="23"/>
        <v/>
      </c>
      <c r="Z54" t="str">
        <f t="array" aca="1" ref="Z54" ca="1">+IFERROR(INDEX(INDIRECT((_xlfn.XLOOKUP(H54,map_location[Genre],map_location[location]))),RANK(INDIRECT((_xlfn.XLOOKUP(H54,map_location[Genre],map_location[MIN+2])),FALSE),INDIRECT((_xlfn.XLOOKUP(H54,map_location[Genre],map_location[rand]))),1)),"")</f>
        <v/>
      </c>
      <c r="AA54" t="str">
        <f t="array" ref="AA54">IF(SUM(COUNTIF(H54,{"*Deep*";"*Bass*";"*Slap*"})),"**Deep House**House**Dance**",IF(SUM(COUNTIF(H54,{"*Lo-Fi*"})),"**Lo-Fi Pop**Lo-Fi Beats**Lo-Fi**",IF(SUM(COUNTIF(H54,{"*Tech*"})),"**Deep House**Tech House**Dance**",IF(SUM(COUNTIF(H54,{"*Indie/Chill Dance*"})),"**Indie Dance**Indie Electronic**Dance Pop**",IF(SUM(COUNTIF(H54,{"*Piano*"})),"**House**Electro house**Melodic House**",IF(SUM(COUNTIF(H54,{"*EDM*"})),"**EDM**Electro house**Dance Pop**",IF(H54="","","")))))))</f>
        <v/>
      </c>
      <c r="AB54" t="str">
        <f t="array" ref="AB54">IF(SUM(COUNTIF(H54,{"*Deep*";"*Bass*";"*Slap*"})),"Energetic,Happy",IF(SUM(COUNTIF(H54,{"*Lo-Fi*"})),"Romantic,Chill",IF(SUM(COUNTIF(H54,{"*Tech*"})),"Energetic,Happy",IF(SUM(COUNTIF(H54,{"*Indie/Chill Dance*"})),"Energetic,Chill",IF(SUM(COUNTIF(H54,{"*Piano*"})),"Energetic,Happy",IF(SUM(COUNTIF(H54,{"*EDM*"})),"Energetic,Happy",IF(H54="","","")))))))</f>
        <v/>
      </c>
      <c r="AC54" t="str">
        <f t="array" ref="AC54">IF(SUM(COUNTIF(H54,{"*Deep*";"*Bass*";"*Slap*"})),"None of these",IF(SUM(COUNTIF(H54,{"*Lo-Fi*"})),"Holiday,Beats",IF(SUM(COUNTIF(H54,{"*Tech*"})),"None of these",IF(SUM(COUNTIF(H54,{"*Indie/Chill Dance*"})),"None of these",IF(SUM(COUNTIF(H54,{"*Piano*"})),"None of these",IF(SUM(COUNTIF(H54,{"*EDM*"})),"None of these",IF(H54="","","")))))))</f>
        <v/>
      </c>
      <c r="AD54" t="str">
        <f t="array" ref="AD54">IF(SUM(COUNTIF(H54,{"*Deep*";"*Bass*";"*Slap*"})),"Samples,Synthesizer,Bass Guitar,Piano,Drum Kit,Electric Guitar",IF(SUM(COUNTIF(H54,{"*Lo-Fi*"})),"Samples,Synthesizer,Bass Guitar,Piano,Drum Kit,Electric Guitar",IF(SUM(COUNTIF(H54,{"*Tech*"})),"Samples,Synthesizer,Bass Guitar,Piano,Drum Kit,Electric Guitar",IF(SUM(COUNTIF(H54,{"*Indie/Chill Dance*"})),"Samples,Synthesizer,Bass Guitar,Piano,Drum Kit,Electric Guitar",IF(SUM(COUNTIF(H54,{"*Piano*"})),"Samples,Synthesizer,Bass Guitar,Piano,Drum Kit,Electric Guitar",IF(SUM(COUNTIF(H54,{"*EDM*"})),"Samples,Synthesizer,Bass Guitar,Piano,Drum Kit,Electric Guitar",IF(H54="","","")))))))</f>
        <v/>
      </c>
      <c r="AE54" t="str">
        <f t="array" ref="AE54">IF(N54="Cover","Yes",IF(SUM(COUNTIF(N54,{"*Radio/Extended*";"*Radio*";"*Remix*"})),"No",""))</f>
        <v/>
      </c>
      <c r="AF54" t="str">
        <f t="array" ref="AF54">IF(N54="Remix","Yes",IF(SUM(COUNTIF(N54,{"*Radio/Extended*";"*Radio*";"*Cover*"})),"No",""))</f>
        <v/>
      </c>
      <c r="AG54" t="str">
        <f t="shared" si="19"/>
        <v/>
      </c>
      <c r="AH54" t="str">
        <f t="array" aca="1" ref="AH54" ca="1">+TRIM(SUBSTITUTE(SUBSTITUTE(SUBSTITUTE(SUBSTITUTE(IFERROR(AQ54&amp;" "&amp;+_xlfn.XLOOKUP(((SUM(LEN(AP54))-SUM(LEN(SUBSTITUTE(AP54,",",""))))/LEN(",")+1)&amp;H54,#REF!&amp;#REF!,#REF!)&amp;CHAR(34)&amp;B54&amp;CHAR(34)&amp;"!"&amp;_xlfn.XLOOKUP(H54,#REF!,#REF!&amp;#REF!),""),"Second",AR54),"Third",AS54),"Forth",AT54),"Fifth",AU54&amp;" "))</f>
        <v/>
      </c>
      <c r="AJ54" t="str">
        <f t="shared" si="24"/>
        <v/>
      </c>
      <c r="AK54" t="str">
        <f t="array" ref="AK54">IF(SUM(COUNTIF(H54,{"*Deep*";"*Bass*";"*Slap*"})),"**Tiësto**Imanbek**",IF(SUM(COUNTIF(H54,{"*Lo-Fi*"})),"**L.Dre**Yasumu**",IF(SUM(COUNTIF(H54,{"*Tech*"})),"**Mau P**Gorgon City**",IF(SUM(COUNTIF(H54,{"*Indie/Chill Dance*"})),"**Felix Jaehn**Lost Frequencies**",IF(SUM(COUNTIF(H54,{"*Piano*"})),"**Avicii**Eric Prydz**",IF(SUM(COUNTIF(H54,{"*EDM*"})),"**David Guetta**Swedish House Mafia**",IF(H54="","","")))))))</f>
        <v/>
      </c>
      <c r="AL54" t="str">
        <f t="array" aca="1" ref="AL54" ca="1">+IFERROR(INDEX(INDIRECT((_xlfn.XLOOKUP(H54,map_country[Genre],map_country[country]))),RANK(INDIRECT((_xlfn.XLOOKUP(H54,map_country[Genre],map_country[min+9])),FALSE),INDIRECT((_xlfn.XLOOKUP(H54,map_country[Genre],map_country[rand]))),1)),"")</f>
        <v/>
      </c>
      <c r="AP54" s="9" t="str">
        <f t="shared" si="20"/>
        <v/>
      </c>
      <c r="AQ54" s="9" t="str">
        <f ca="1">IFERROR(_xlfn.TEXTBEFORE(AP54,","),AP54)</f>
        <v/>
      </c>
      <c r="AR54" s="9" t="str">
        <f ca="1">IFERROR(TRIM(SUBSTITUTE(SUBSTITUTE(SUBSTITUTE(SUBSTITUTE(_xlfn.TEXTAFTER(AP54,",",1),AS54,""),AT54,""),AU54,""),",","")),"")</f>
        <v/>
      </c>
      <c r="AS54" s="9" t="str">
        <f ca="1">IFERROR(SUBSTITUTE(SUBSTITUTE(SUBSTITUTE(_xlfn.TEXTAFTER(AP54,",",2),AT54,""),",",""),AU54,""),"")</f>
        <v/>
      </c>
      <c r="AT54" s="9" t="str">
        <f ca="1">IFERROR(SUBSTITUTE(SUBSTITUTE(_xlfn.TEXTAFTER(AP54,",",3),AU54,""),",",""),"")</f>
        <v/>
      </c>
      <c r="AU54" s="9" t="str">
        <f ca="1">IFERROR(_xlfn.TEXTAFTER(AP54,",",4),"")</f>
        <v/>
      </c>
      <c r="BE54" t="s">
        <v>52</v>
      </c>
      <c r="BF54" t="s">
        <v>152</v>
      </c>
      <c r="BG54" t="s">
        <v>153</v>
      </c>
      <c r="BH54" t="str">
        <f>+map_country[[#This Row],[rand]]</f>
        <v>indie_country[rand]</v>
      </c>
      <c r="BI54" t="str">
        <f>"R"&amp;ROW(BP21)&amp;"C"&amp;COLUMN(BP21)</f>
        <v>R21C68</v>
      </c>
      <c r="BJ54" t="str">
        <f>+SUBSTITUTE(map_country[[#This Row],[min]],MID(map_country[[#This Row],[min]],2,2),MID(map_country[[#This Row],[min]],2,2)+1)</f>
        <v>R22C68</v>
      </c>
      <c r="BK54" t="str">
        <f>+SUBSTITUTE(map_country[[#This Row],[min]],MID(map_country[[#This Row],[min]],2,2),MID(map_country[[#This Row],[min]],2,2)+2)</f>
        <v>R23C68</v>
      </c>
      <c r="BL54" t="str">
        <f>+SUBSTITUTE(map_country[[#This Row],[min]],MID(map_country[[#This Row],[min]],2,2),MID(map_country[[#This Row],[min]],2,2)+3)</f>
        <v>R24C68</v>
      </c>
      <c r="BM54" t="str">
        <f>+SUBSTITUTE(map_country[[#This Row],[min]],MID(map_country[[#This Row],[min]],2,2),MID(map_country[[#This Row],[min]],2,2)+4)</f>
        <v>R25C68</v>
      </c>
      <c r="BN54" t="str">
        <f>+SUBSTITUTE(map_country[[#This Row],[min]],MID(map_country[[#This Row],[min]],2,2),MID(map_country[[#This Row],[min]],2,2)+5)</f>
        <v>R26C68</v>
      </c>
      <c r="BO54" t="str">
        <f>+SUBSTITUTE(map_country[[#This Row],[min]],MID(map_country[[#This Row],[min]],2,2),MID(map_country[[#This Row],[min]],2,2)+6)</f>
        <v>R27C68</v>
      </c>
      <c r="BP54" t="str">
        <f>+SUBSTITUTE(map_country[[#This Row],[min]],MID(map_country[[#This Row],[min]],2,2),MID(map_country[[#This Row],[min]],2,2)+7)</f>
        <v>R28C68</v>
      </c>
      <c r="BQ54" t="str">
        <f>+SUBSTITUTE(map_country[[#This Row],[min]],MID(map_country[[#This Row],[min]],2,2),MID(map_country[[#This Row],[min]],2,2)+8)</f>
        <v>R29C68</v>
      </c>
      <c r="BR54" t="str">
        <f>+SUBSTITUTE(map_country[[#This Row],[min]],MID(map_country[[#This Row],[min]],2,2),MID(map_country[[#This Row],[min]],2,2)+9)</f>
        <v>R30C68</v>
      </c>
    </row>
    <row r="55" spans="6:70" x14ac:dyDescent="0.25">
      <c r="F55" s="3"/>
      <c r="P55" t="str">
        <f t="shared" si="15"/>
        <v/>
      </c>
      <c r="Q55" t="str">
        <f t="shared" si="16"/>
        <v/>
      </c>
      <c r="R55" t="str">
        <f t="shared" si="17"/>
        <v/>
      </c>
      <c r="S55" t="str">
        <f t="array" ref="S55">IF(SUM(COUNTIF(H55,{"*Deep*";"*Bass*";"*Slap*"})),"Citas:Deep House",IF(SUM(COUNTIF(H55,{"*Lo-Fi*"})),"Citas:Lo-Fi",IF(SUM(COUNTIF(H55,{"*Tech*"})),"Citas:Tech House",IF(SUM(COUNTIF(H55,{"*Indie/Chill Dance*"})),"Citas:Indie/Chill Dance",IF(SUM(COUNTIF(H55,{"*Piano*"})),"Citas:Piano House",IF(SUM(COUNTIF(H55,{"*EDM*"})),"edm dance",IF(H55="","","")))))))</f>
        <v/>
      </c>
      <c r="T55" t="str">
        <f t="array" ref="T55">IF(SUM(COUNTIF(H55,{"*Deep*";"*Bass*";"*Slap*"})),"energetic",IF(SUM(COUNTIF(H55,{"*Lo-Fi*"})),"calm",IF(SUM(COUNTIF(H55,{"*Tech*"})),"energetic",IF(SUM(COUNTIF(H55,{"*Indie/Chill Dance*"})),"chillout",IF(SUM(COUNTIF(H55,{"*Piano*"})),"energetic",IF(SUM(COUNTIF(H55,{"*EDM*"})),"energetic",IF(H55="","","")))))))</f>
        <v/>
      </c>
      <c r="U55" t="str">
        <f t="array" ref="U55">IF(SUM(COUNTIF(H55,{"*Tech*";"*EDM*";"*Indie*";"*Deep*";"*Piano*";"*Slap*";"*Brazilian Bass*"})),"Song would perfectly fit in any dance mood playlist! Label will invest up to 5000 EUR advertising on facebook and instagram ads aswell as promoting it over label and label partners playlists, radio stations and press.",IF(SUM(COUNTIF(H55,{"*Lo-Fi*"})),"Song would perfectly fit in any Lo-Fi mood playlist! Label will invest up to 5000 EUR advertising on facebook and instagram ads aswell as promoting it over label and label partners playlists, radio stations and press.",IF(H55="","","")))</f>
        <v/>
      </c>
      <c r="V55" t="str">
        <f t="shared" si="18"/>
        <v/>
      </c>
      <c r="X55" t="str">
        <f t="shared" si="23"/>
        <v/>
      </c>
      <c r="Z55" t="str">
        <f t="array" aca="1" ref="Z55" ca="1">+IF(H55="LO-FI","",IFERROR(INDEX(INDIRECT((_xlfn.XLOOKUP(H55,map_location[Genre],map_location[location]))),RANK(INDIRECT((_xlfn.XLOOKUP(H55,map_location[Genre],map_location[min])),FALSE),INDIRECT((_xlfn.XLOOKUP(H55,map_location[Genre],map_location[rand]))),1)),""))</f>
        <v/>
      </c>
      <c r="AA55" t="str">
        <f t="array" ref="AA55">IF(SUM(COUNTIF(H55,{"*Deep*";"*Bass*";"*Slap*"})),"**Deep House**House**Dance**",IF(SUM(COUNTIF(H55,{"*Lo-Fi*"})),"**Lo-Fi Pop**Lo-Fi Beats**Lo-Fi**",IF(SUM(COUNTIF(H55,{"*Tech*"})),"**Deep House**Tech House**Dance**",IF(SUM(COUNTIF(H55,{"*Indie/Chill Dance*"})),"**Indie Dance**Indie Electronic**Dance Pop**",IF(SUM(COUNTIF(H55,{"*Piano*"})),"**House**Electro house**Melodic House**",IF(SUM(COUNTIF(H55,{"*EDM*"})),"**EDM**Electro house**Dance Pop**",IF(H55="","","")))))))</f>
        <v/>
      </c>
      <c r="AB55" t="str">
        <f t="array" ref="AB55">IF(SUM(COUNTIF(H55,{"*Deep*";"*Bass*";"*Slap*"})),"Energetic,Happy",IF(SUM(COUNTIF(H55,{"*Lo-Fi*"})),"Romantic,Chill",IF(SUM(COUNTIF(H55,{"*Tech*"})),"Energetic,Happy",IF(SUM(COUNTIF(H55,{"*Indie/Chill Dance*"})),"Energetic,Chill",IF(SUM(COUNTIF(H55,{"*Piano*"})),"Energetic,Happy",IF(SUM(COUNTIF(H55,{"*EDM*"})),"Energetic,Happy",IF(H55="","","")))))))</f>
        <v/>
      </c>
      <c r="AC55" t="str">
        <f t="array" ref="AC55">IF(SUM(COUNTIF(H55,{"*Deep*";"*Bass*";"*Slap*"})),"None of these",IF(SUM(COUNTIF(H55,{"*Lo-Fi*"})),"Holiday,Beats",IF(SUM(COUNTIF(H55,{"*Tech*"})),"None of these",IF(SUM(COUNTIF(H55,{"*Indie/Chill Dance*"})),"None of these",IF(SUM(COUNTIF(H55,{"*Piano*"})),"None of these",IF(SUM(COUNTIF(H55,{"*EDM*"})),"None of these",IF(H55="","","")))))))</f>
        <v/>
      </c>
      <c r="AD55" t="str">
        <f t="array" ref="AD55">IF(SUM(COUNTIF(H55,{"*Deep*";"*Bass*";"*Slap*"})),"Samples,Synthesizer,Bass Guitar,Piano,Drum Kit,Electric Guitar",IF(SUM(COUNTIF(H55,{"*Lo-Fi*"})),"Samples,Synthesizer,Bass Guitar,Piano,Drum Kit,Electric Guitar",IF(SUM(COUNTIF(H55,{"*Tech*"})),"Samples,Synthesizer,Bass Guitar,Piano,Drum Kit,Electric Guitar",IF(SUM(COUNTIF(H55,{"*Indie/Chill Dance*"})),"Samples,Synthesizer,Bass Guitar,Piano,Drum Kit,Electric Guitar",IF(SUM(COUNTIF(H55,{"*Piano*"})),"Samples,Synthesizer,Bass Guitar,Piano,Drum Kit,Electric Guitar",IF(SUM(COUNTIF(H55,{"*EDM*"})),"Samples,Synthesizer,Bass Guitar,Piano,Drum Kit,Electric Guitar",IF(H55="","","")))))))</f>
        <v/>
      </c>
      <c r="AE55" t="str">
        <f t="array" ref="AE55">IF(N55="Cover","Yes",IF(SUM(COUNTIF(N55,{"*Radio/Extended*";"*Radio*";"*Remix*"})),"No",""))</f>
        <v/>
      </c>
      <c r="AF55" t="str">
        <f t="array" ref="AF55">IF(N55="Remix","Yes",IF(SUM(COUNTIF(N55,{"*Radio/Extended*";"*Radio*";"*Cover*"})),"No",""))</f>
        <v/>
      </c>
      <c r="AG55" t="str">
        <f t="shared" si="19"/>
        <v/>
      </c>
      <c r="AH55" t="str">
        <f t="array" aca="1" ref="AH55" ca="1">+TRIM(SUBSTITUTE(SUBSTITUTE(SUBSTITUTE(SUBSTITUTE(IFERROR(AQ55&amp;" "&amp;+_xlfn.XLOOKUP(((SUM(LEN(AP55))-SUM(LEN(SUBSTITUTE(AP55,",",""))))/LEN(",")+1)&amp;H55,#REF!&amp;#REF!,#REF!)&amp;CHAR(34)&amp;B55&amp;CHAR(34)&amp;"!"&amp;_xlfn.XLOOKUP(H55,#REF!,#REF!&amp;#REF!),""),"Second",AR55),"Third",AS55),"Forth",AT55),"Fifth",AU55&amp;" "))</f>
        <v/>
      </c>
      <c r="AJ55" t="str">
        <f t="shared" si="24"/>
        <v/>
      </c>
      <c r="AK55" t="str">
        <f t="array" ref="AK55">IF(SUM(COUNTIF(H55,{"*Deep*";"*Bass*";"*Slap*"})),"**Tiësto**Imanbek**",IF(SUM(COUNTIF(H55,{"*Lo-Fi*"})),"**L.Dre**Yasumu**",IF(SUM(COUNTIF(H55,{"*Tech*"})),"**Mau P**Gorgon City**",IF(SUM(COUNTIF(H55,{"*Indie/Chill Dance*"})),"**Felix Jaehn**Lost Frequencies**",IF(SUM(COUNTIF(H55,{"*Piano*"})),"**Avicii**Eric Prydz**",IF(SUM(COUNTIF(H55,{"*EDM*"})),"**David Guetta**Swedish House Mafia**",IF(H55="","","")))))))</f>
        <v/>
      </c>
      <c r="AP55" s="9" t="str">
        <f t="shared" si="20"/>
        <v/>
      </c>
      <c r="AQ55" s="9" t="str">
        <f ca="1">IFERROR(_xlfn.TEXTBEFORE(AP55,","),AP55)</f>
        <v/>
      </c>
      <c r="AR55" s="9" t="str">
        <f ca="1">IFERROR(TRIM(SUBSTITUTE(SUBSTITUTE(SUBSTITUTE(SUBSTITUTE(_xlfn.TEXTAFTER(AP55,",",1),AS55,""),AT55,""),AU55,""),",","")),"")</f>
        <v/>
      </c>
      <c r="AS55" s="9" t="str">
        <f ca="1">IFERROR(SUBSTITUTE(SUBSTITUTE(SUBSTITUTE(_xlfn.TEXTAFTER(AP55,",",2),AT55,""),",",""),AU55,""),"")</f>
        <v/>
      </c>
      <c r="AT55" s="9" t="str">
        <f ca="1">IFERROR(SUBSTITUTE(SUBSTITUTE(_xlfn.TEXTAFTER(AP55,",",3),AU55,""),",",""),"")</f>
        <v/>
      </c>
      <c r="AU55" s="9" t="str">
        <f ca="1">IFERROR(_xlfn.TEXTAFTER(AP55,",",4),"")</f>
        <v/>
      </c>
      <c r="BE55" t="s">
        <v>54</v>
      </c>
      <c r="BF55" t="s">
        <v>154</v>
      </c>
      <c r="BG55" t="s">
        <v>155</v>
      </c>
      <c r="BH55" t="str">
        <f>+map_country[[#This Row],[rand]]</f>
        <v>slap_country[rand]</v>
      </c>
      <c r="BI55" t="str">
        <f>"R"&amp;ROW(BM35)&amp;"C"&amp;COLUMN(BM35)</f>
        <v>R35C65</v>
      </c>
      <c r="BJ55" t="str">
        <f>+SUBSTITUTE(map_country[[#This Row],[min]],MID(map_country[[#This Row],[min]],2,2),MID(map_country[[#This Row],[min]],2,2)+1)</f>
        <v>R36C65</v>
      </c>
      <c r="BK55" t="str">
        <f>+SUBSTITUTE(map_country[[#This Row],[min]],MID(map_country[[#This Row],[min]],2,2),MID(map_country[[#This Row],[min]],2,2)+2)</f>
        <v>R37C65</v>
      </c>
      <c r="BL55" t="str">
        <f>+SUBSTITUTE(map_country[[#This Row],[min]],MID(map_country[[#This Row],[min]],2,2),MID(map_country[[#This Row],[min]],2,2)+3)</f>
        <v>R38C65</v>
      </c>
      <c r="BM55" t="str">
        <f>+SUBSTITUTE(map_country[[#This Row],[min]],MID(map_country[[#This Row],[min]],2,2),MID(map_country[[#This Row],[min]],2,2)+4)</f>
        <v>R39C65</v>
      </c>
      <c r="BN55" t="str">
        <f>+SUBSTITUTE(map_country[[#This Row],[min]],MID(map_country[[#This Row],[min]],2,2),MID(map_country[[#This Row],[min]],2,2)+5)</f>
        <v>R40C65</v>
      </c>
      <c r="BO55" t="str">
        <f>+SUBSTITUTE(map_country[[#This Row],[min]],MID(map_country[[#This Row],[min]],2,2),MID(map_country[[#This Row],[min]],2,2)+6)</f>
        <v>R41C65</v>
      </c>
      <c r="BP55" t="str">
        <f>+SUBSTITUTE(map_country[[#This Row],[min]],MID(map_country[[#This Row],[min]],2,2),MID(map_country[[#This Row],[min]],2,2)+7)</f>
        <v>R42C65</v>
      </c>
      <c r="BQ55" t="str">
        <f>+SUBSTITUTE(map_country[[#This Row],[min]],MID(map_country[[#This Row],[min]],2,2),MID(map_country[[#This Row],[min]],2,2)+8)</f>
        <v>R43C65</v>
      </c>
      <c r="BR55" t="str">
        <f>+SUBSTITUTE(map_country[[#This Row],[min]],MID(map_country[[#This Row],[min]],2,2),MID(map_country[[#This Row],[min]],2,2)+9)</f>
        <v>R44C65</v>
      </c>
    </row>
    <row r="56" spans="6:70" x14ac:dyDescent="0.25">
      <c r="F56" s="3"/>
      <c r="P56" t="str">
        <f t="shared" si="15"/>
        <v/>
      </c>
      <c r="Q56" t="str">
        <f t="shared" si="16"/>
        <v/>
      </c>
      <c r="R56" t="str">
        <f t="shared" si="17"/>
        <v/>
      </c>
      <c r="S56" t="str">
        <f t="array" ref="S56">IF(SUM(COUNTIF(H56,{"*Deep*";"*Bass*";"*Slap*"})),"Citas:Deep House",IF(SUM(COUNTIF(H56,{"*Lo-Fi*"})),"Citas:Lo-Fi",IF(SUM(COUNTIF(H56,{"*Tech*"})),"Citas:Tech House",IF(SUM(COUNTIF(H56,{"*Indie/Chill Dance*"})),"Citas:Indie/Chill Dance",IF(SUM(COUNTIF(H56,{"*Piano*"})),"Citas:Piano House",IF(SUM(COUNTIF(H56,{"*EDM*"})),"edm dance",IF(H56="","","")))))))</f>
        <v/>
      </c>
      <c r="T56" t="str">
        <f t="array" ref="T56">IF(SUM(COUNTIF(H56,{"*Deep*";"*Bass*";"*Slap*"})),"energetic",IF(SUM(COUNTIF(H56,{"*Lo-Fi*"})),"calm",IF(SUM(COUNTIF(H56,{"*Tech*"})),"energetic",IF(SUM(COUNTIF(H56,{"*Indie/Chill Dance*"})),"chillout",IF(SUM(COUNTIF(H56,{"*Piano*"})),"energetic",IF(SUM(COUNTIF(H56,{"*EDM*"})),"energetic",IF(H56="","","")))))))</f>
        <v/>
      </c>
      <c r="U56" t="str">
        <f t="array" ref="U56">IF(SUM(COUNTIF(H56,{"*Tech*";"*EDM*";"*Indie*";"*Deep*";"*Piano*";"*Slap*";"*Brazilian Bass*"})),"Song would perfectly fit in any dance mood playlist! Label will invest up to 5000 EUR advertising on facebook and instagram ads aswell as promoting it over label and label partners playlists, radio stations and press.",IF(SUM(COUNTIF(H56,{"*Lo-Fi*"})),"Song would perfectly fit in any Lo-Fi mood playlist! Label will invest up to 5000 EUR advertising on facebook and instagram ads aswell as promoting it over label and label partners playlists, radio stations and press.",IF(H56="","","")))</f>
        <v/>
      </c>
      <c r="V56" t="str">
        <f t="shared" si="18"/>
        <v/>
      </c>
      <c r="X56" t="str">
        <f t="shared" si="23"/>
        <v/>
      </c>
      <c r="Z56" t="str">
        <f t="array" aca="1" ref="Z56" ca="1">+IFERROR(INDEX(INDIRECT((_xlfn.XLOOKUP(H56,map_location[Genre],map_location[location]))),RANK(INDIRECT((_xlfn.XLOOKUP(H56,map_location[Genre],map_location[MIN+1])),FALSE),INDIRECT((_xlfn.XLOOKUP(H56,map_location[Genre],map_location[rand]))),1)),"")</f>
        <v/>
      </c>
      <c r="AA56" t="str">
        <f t="array" ref="AA56">IF(SUM(COUNTIF(H56,{"*Deep*";"*Bass*";"*Slap*"})),"**Deep House**House**Dance**",IF(SUM(COUNTIF(H56,{"*Lo-Fi*"})),"**Lo-Fi Pop**Lo-Fi Beats**Lo-Fi**",IF(SUM(COUNTIF(H56,{"*Tech*"})),"**Deep House**Tech House**Dance**",IF(SUM(COUNTIF(H56,{"*Indie/Chill Dance*"})),"**Indie Dance**Indie Electronic**Dance Pop**",IF(SUM(COUNTIF(H56,{"*Piano*"})),"**House**Electro house**Melodic House**",IF(SUM(COUNTIF(H56,{"*EDM*"})),"**EDM**Electro house**Dance Pop**",IF(H56="","","")))))))</f>
        <v/>
      </c>
      <c r="AB56" t="str">
        <f t="array" ref="AB56">IF(SUM(COUNTIF(H56,{"*Deep*";"*Bass*";"*Slap*"})),"Energetic,Happy",IF(SUM(COUNTIF(H56,{"*Lo-Fi*"})),"Romantic,Chill",IF(SUM(COUNTIF(H56,{"*Tech*"})),"Energetic,Happy",IF(SUM(COUNTIF(H56,{"*Indie/Chill Dance*"})),"Energetic,Chill",IF(SUM(COUNTIF(H56,{"*Piano*"})),"Energetic,Happy",IF(SUM(COUNTIF(H56,{"*EDM*"})),"Energetic,Happy",IF(H56="","","")))))))</f>
        <v/>
      </c>
      <c r="AC56" t="str">
        <f t="array" ref="AC56">IF(SUM(COUNTIF(H56,{"*Deep*";"*Bass*";"*Slap*"})),"None of these",IF(SUM(COUNTIF(H56,{"*Lo-Fi*"})),"Holiday,Beats",IF(SUM(COUNTIF(H56,{"*Tech*"})),"None of these",IF(SUM(COUNTIF(H56,{"*Indie/Chill Dance*"})),"None of these",IF(SUM(COUNTIF(H56,{"*Piano*"})),"None of these",IF(SUM(COUNTIF(H56,{"*EDM*"})),"None of these",IF(H56="","","")))))))</f>
        <v/>
      </c>
      <c r="AD56" t="str">
        <f t="array" ref="AD56">IF(SUM(COUNTIF(H56,{"*Deep*";"*Bass*";"*Slap*"})),"Samples,Synthesizer,Bass Guitar,Piano,Drum Kit,Electric Guitar",IF(SUM(COUNTIF(H56,{"*Lo-Fi*"})),"Samples,Synthesizer,Bass Guitar,Piano,Drum Kit,Electric Guitar",IF(SUM(COUNTIF(H56,{"*Tech*"})),"Samples,Synthesizer,Bass Guitar,Piano,Drum Kit,Electric Guitar",IF(SUM(COUNTIF(H56,{"*Indie/Chill Dance*"})),"Samples,Synthesizer,Bass Guitar,Piano,Drum Kit,Electric Guitar",IF(SUM(COUNTIF(H56,{"*Piano*"})),"Samples,Synthesizer,Bass Guitar,Piano,Drum Kit,Electric Guitar",IF(SUM(COUNTIF(H56,{"*EDM*"})),"Samples,Synthesizer,Bass Guitar,Piano,Drum Kit,Electric Guitar",IF(H56="","","")))))))</f>
        <v/>
      </c>
      <c r="AE56" t="str">
        <f t="array" ref="AE56">IF(N56="Cover","Yes",IF(SUM(COUNTIF(N56,{"*Radio/Extended*";"*Radio*";"*Remix*"})),"No",""))</f>
        <v/>
      </c>
      <c r="AF56" t="str">
        <f t="array" ref="AF56">IF(N56="Remix","Yes",IF(SUM(COUNTIF(N56,{"*Radio/Extended*";"*Radio*";"*Cover*"})),"No",""))</f>
        <v/>
      </c>
      <c r="AG56" t="str">
        <f t="shared" si="19"/>
        <v/>
      </c>
      <c r="AH56" t="str">
        <f t="array" aca="1" ref="AH56" ca="1">+TRIM(SUBSTITUTE(SUBSTITUTE(SUBSTITUTE(SUBSTITUTE(IFERROR(AQ56&amp;" "&amp;+_xlfn.XLOOKUP(((SUM(LEN(AP56))-SUM(LEN(SUBSTITUTE(AP56,",",""))))/LEN(",")+1)&amp;H56,#REF!&amp;#REF!,#REF!)&amp;CHAR(34)&amp;B56&amp;CHAR(34)&amp;"!"&amp;_xlfn.XLOOKUP(H56,#REF!,#REF!&amp;#REF!),""),"Second",AR56),"Third",AS56),"Forth",AT56),"Fifth",AU56&amp;" "))</f>
        <v/>
      </c>
      <c r="AJ56" t="str">
        <f t="shared" si="24"/>
        <v/>
      </c>
      <c r="AK56" t="str">
        <f t="array" ref="AK56">IF(SUM(COUNTIF(H56,{"*Deep*";"*Bass*";"*Slap*"})),"**Tiësto**Imanbek**",IF(SUM(COUNTIF(H56,{"*Lo-Fi*"})),"**L.Dre**Yasumu**",IF(SUM(COUNTIF(H56,{"*Tech*"})),"**Mau P**Gorgon City**",IF(SUM(COUNTIF(H56,{"*Indie/Chill Dance*"})),"**Felix Jaehn**Lost Frequencies**",IF(SUM(COUNTIF(H56,{"*Piano*"})),"**Avicii**Eric Prydz**",IF(SUM(COUNTIF(H56,{"*EDM*"})),"**David Guetta**Swedish House Mafia**",IF(H56="","","")))))))</f>
        <v/>
      </c>
      <c r="AP56" s="9" t="str">
        <f t="shared" si="20"/>
        <v/>
      </c>
      <c r="AQ56" s="9" t="str">
        <f ca="1">IFERROR(_xlfn.TEXTBEFORE(AP56,","),AP56)</f>
        <v/>
      </c>
      <c r="AR56" s="9" t="str">
        <f ca="1">IFERROR(TRIM(SUBSTITUTE(SUBSTITUTE(SUBSTITUTE(SUBSTITUTE(_xlfn.TEXTAFTER(AP56,",",1),AS56,""),AT56,""),AU56,""),",","")),"")</f>
        <v/>
      </c>
      <c r="AS56" s="9" t="str">
        <f ca="1">IFERROR(SUBSTITUTE(SUBSTITUTE(SUBSTITUTE(_xlfn.TEXTAFTER(AP56,",",2),AT56,""),",",""),AU56,""),"")</f>
        <v/>
      </c>
      <c r="AT56" s="9" t="str">
        <f ca="1">IFERROR(SUBSTITUTE(SUBSTITUTE(_xlfn.TEXTAFTER(AP56,",",3),AU56,""),",",""),"")</f>
        <v/>
      </c>
      <c r="AU56" s="9" t="str">
        <f ca="1">IFERROR(_xlfn.TEXTAFTER(AP56,",",4),"")</f>
        <v/>
      </c>
      <c r="BE56" t="s">
        <v>56</v>
      </c>
      <c r="BF56" t="s">
        <v>156</v>
      </c>
      <c r="BG56" t="s">
        <v>157</v>
      </c>
      <c r="BH56" t="str">
        <f>+map_country[[#This Row],[rand]]</f>
        <v>brazilian_country[rand]</v>
      </c>
      <c r="BI56" t="str">
        <f>"R"&amp;ROW(BC35)&amp;"C"&amp;COLUMN(BC35)</f>
        <v>R35C55</v>
      </c>
      <c r="BJ56" t="str">
        <f>+SUBSTITUTE(map_country[[#This Row],[min]],MID(map_country[[#This Row],[min]],2,2),MID(map_country[[#This Row],[min]],2,2)+1)</f>
        <v>R36C55</v>
      </c>
      <c r="BK56" t="str">
        <f>+SUBSTITUTE(map_country[[#This Row],[min]],MID(map_country[[#This Row],[min]],2,2),MID(map_country[[#This Row],[min]],2,2)+2)</f>
        <v>R37C55</v>
      </c>
      <c r="BL56" t="str">
        <f>+SUBSTITUTE(map_country[[#This Row],[min]],MID(map_country[[#This Row],[min]],2,2),MID(map_country[[#This Row],[min]],2,2)+3)</f>
        <v>R38C55</v>
      </c>
      <c r="BM56" t="str">
        <f>+SUBSTITUTE(map_country[[#This Row],[min]],MID(map_country[[#This Row],[min]],2,2),MID(map_country[[#This Row],[min]],2,2)+4)</f>
        <v>R39C55</v>
      </c>
      <c r="BN56" t="str">
        <f>+SUBSTITUTE(map_country[[#This Row],[min]],MID(map_country[[#This Row],[min]],2,2),MID(map_country[[#This Row],[min]],2,2)+5)</f>
        <v>R40C55</v>
      </c>
      <c r="BO56" t="str">
        <f>+SUBSTITUTE(map_country[[#This Row],[min]],MID(map_country[[#This Row],[min]],2,2),MID(map_country[[#This Row],[min]],2,2)+6)</f>
        <v>R41C55</v>
      </c>
      <c r="BP56" t="str">
        <f>+SUBSTITUTE(map_country[[#This Row],[min]],MID(map_country[[#This Row],[min]],2,2),MID(map_country[[#This Row],[min]],2,2)+7)</f>
        <v>R42C55</v>
      </c>
      <c r="BQ56" t="str">
        <f>+SUBSTITUTE(map_country[[#This Row],[min]],MID(map_country[[#This Row],[min]],2,2),MID(map_country[[#This Row],[min]],2,2)+8)</f>
        <v>R43C55</v>
      </c>
      <c r="BR56" t="str">
        <f>+SUBSTITUTE(map_country[[#This Row],[min]],MID(map_country[[#This Row],[min]],2,2),MID(map_country[[#This Row],[min]],2,2)+9)</f>
        <v>R44C55</v>
      </c>
    </row>
    <row r="57" spans="6:70" x14ac:dyDescent="0.25">
      <c r="F57" s="3"/>
      <c r="P57" t="str">
        <f t="shared" si="15"/>
        <v/>
      </c>
      <c r="Q57" t="str">
        <f t="shared" si="16"/>
        <v/>
      </c>
      <c r="R57" t="str">
        <f t="shared" si="17"/>
        <v/>
      </c>
      <c r="S57" t="str">
        <f t="array" ref="S57">IF(SUM(COUNTIF(H57,{"*Deep*";"*Bass*";"*Slap*"})),"Citas:Deep House",IF(SUM(COUNTIF(H57,{"*Lo-Fi*"})),"Citas:Lo-Fi",IF(SUM(COUNTIF(H57,{"*Tech*"})),"Citas:Tech House",IF(SUM(COUNTIF(H57,{"*Indie/Chill Dance*"})),"Citas:Indie/Chill Dance",IF(SUM(COUNTIF(H57,{"*Piano*"})),"Citas:Piano House",IF(SUM(COUNTIF(H57,{"*EDM*"})),"edm dance",IF(H57="","","")))))))</f>
        <v/>
      </c>
      <c r="T57" t="str">
        <f t="array" ref="T57">IF(SUM(COUNTIF(H57,{"*Deep*";"*Bass*";"*Slap*"})),"energetic",IF(SUM(COUNTIF(H57,{"*Lo-Fi*"})),"calm",IF(SUM(COUNTIF(H57,{"*Tech*"})),"energetic",IF(SUM(COUNTIF(H57,{"*Indie/Chill Dance*"})),"chillout",IF(SUM(COUNTIF(H57,{"*Piano*"})),"energetic",IF(SUM(COUNTIF(H57,{"*EDM*"})),"energetic",IF(H57="","","")))))))</f>
        <v/>
      </c>
      <c r="U57" t="str">
        <f t="array" ref="U57">IF(SUM(COUNTIF(H57,{"*Tech*";"*EDM*";"*Indie*";"*Deep*";"*Piano*";"*Slap*";"*Brazilian Bass*"})),"Song would perfectly fit in any dance mood playlist! Label will invest up to 5000 EUR advertising on facebook and instagram ads aswell as promoting it over label and label partners playlists, radio stations and press.",IF(SUM(COUNTIF(H57,{"*Lo-Fi*"})),"Song would perfectly fit in any Lo-Fi mood playlist! Label will invest up to 5000 EUR advertising on facebook and instagram ads aswell as promoting it over label and label partners playlists, radio stations and press.",IF(H57="","","")))</f>
        <v/>
      </c>
      <c r="V57" t="str">
        <f t="shared" si="18"/>
        <v/>
      </c>
      <c r="X57" t="str">
        <f t="shared" si="23"/>
        <v/>
      </c>
      <c r="Z57" t="str">
        <f t="array" aca="1" ref="Z57" ca="1">+IFERROR(INDEX(INDIRECT((_xlfn.XLOOKUP(H57,map_location[Genre],map_location[location]))),RANK(INDIRECT((_xlfn.XLOOKUP(H57,map_location[Genre],map_location[MIN+2])),FALSE),INDIRECT((_xlfn.XLOOKUP(H57,map_location[Genre],map_location[rand]))),1)),"")</f>
        <v/>
      </c>
      <c r="AA57" t="str">
        <f t="array" ref="AA57">IF(SUM(COUNTIF(H57,{"*Deep*";"*Bass*";"*Slap*"})),"**Deep House**House**Dance**",IF(SUM(COUNTIF(H57,{"*Lo-Fi*"})),"**Lo-Fi Pop**Lo-Fi Beats**Lo-Fi**",IF(SUM(COUNTIF(H57,{"*Tech*"})),"**Deep House**Tech House**Dance**",IF(SUM(COUNTIF(H57,{"*Indie/Chill Dance*"})),"**Indie Dance**Indie Electronic**Dance Pop**",IF(SUM(COUNTIF(H57,{"*Piano*"})),"**House**Electro house**Melodic House**",IF(SUM(COUNTIF(H57,{"*EDM*"})),"**EDM**Electro house**Dance Pop**",IF(H57="","","")))))))</f>
        <v/>
      </c>
      <c r="AB57" t="str">
        <f t="array" ref="AB57">IF(SUM(COUNTIF(H57,{"*Deep*";"*Bass*";"*Slap*"})),"Energetic,Happy",IF(SUM(COUNTIF(H57,{"*Lo-Fi*"})),"Romantic,Chill",IF(SUM(COUNTIF(H57,{"*Tech*"})),"Energetic,Happy",IF(SUM(COUNTIF(H57,{"*Indie/Chill Dance*"})),"Energetic,Chill",IF(SUM(COUNTIF(H57,{"*Piano*"})),"Energetic,Happy",IF(SUM(COUNTIF(H57,{"*EDM*"})),"Energetic,Happy",IF(H57="","","")))))))</f>
        <v/>
      </c>
      <c r="AC57" t="str">
        <f t="array" ref="AC57">IF(SUM(COUNTIF(H57,{"*Deep*";"*Bass*";"*Slap*"})),"None of these",IF(SUM(COUNTIF(H57,{"*Lo-Fi*"})),"Holiday,Beats",IF(SUM(COUNTIF(H57,{"*Tech*"})),"None of these",IF(SUM(COUNTIF(H57,{"*Indie/Chill Dance*"})),"None of these",IF(SUM(COUNTIF(H57,{"*Piano*"})),"None of these",IF(SUM(COUNTIF(H57,{"*EDM*"})),"None of these",IF(H57="","","")))))))</f>
        <v/>
      </c>
      <c r="AD57" t="str">
        <f t="array" ref="AD57">IF(SUM(COUNTIF(H57,{"*Deep*";"*Bass*";"*Slap*"})),"Samples,Synthesizer,Bass Guitar,Piano,Drum Kit,Electric Guitar",IF(SUM(COUNTIF(H57,{"*Lo-Fi*"})),"Samples,Synthesizer,Bass Guitar,Piano,Drum Kit,Electric Guitar",IF(SUM(COUNTIF(H57,{"*Tech*"})),"Samples,Synthesizer,Bass Guitar,Piano,Drum Kit,Electric Guitar",IF(SUM(COUNTIF(H57,{"*Indie/Chill Dance*"})),"Samples,Synthesizer,Bass Guitar,Piano,Drum Kit,Electric Guitar",IF(SUM(COUNTIF(H57,{"*Piano*"})),"Samples,Synthesizer,Bass Guitar,Piano,Drum Kit,Electric Guitar",IF(SUM(COUNTIF(H57,{"*EDM*"})),"Samples,Synthesizer,Bass Guitar,Piano,Drum Kit,Electric Guitar",IF(H57="","","")))))))</f>
        <v/>
      </c>
      <c r="AE57" t="str">
        <f t="array" ref="AE57">IF(N57="Cover","Yes",IF(SUM(COUNTIF(N57,{"*Radio/Extended*";"*Radio*";"*Remix*"})),"No",""))</f>
        <v/>
      </c>
      <c r="AF57" t="str">
        <f t="array" ref="AF57">IF(N57="Remix","Yes",IF(SUM(COUNTIF(N57,{"*Radio/Extended*";"*Radio*";"*Cover*"})),"No",""))</f>
        <v/>
      </c>
      <c r="AG57" t="str">
        <f t="shared" si="19"/>
        <v/>
      </c>
      <c r="AH57" t="str">
        <f t="array" aca="1" ref="AH57" ca="1">+TRIM(SUBSTITUTE(SUBSTITUTE(SUBSTITUTE(SUBSTITUTE(IFERROR(AQ57&amp;" "&amp;+_xlfn.XLOOKUP(((SUM(LEN(AP57))-SUM(LEN(SUBSTITUTE(AP57,",",""))))/LEN(",")+1)&amp;H57,#REF!&amp;#REF!,#REF!)&amp;CHAR(34)&amp;B57&amp;CHAR(34)&amp;"!"&amp;_xlfn.XLOOKUP(H57,#REF!,#REF!&amp;#REF!),""),"Second",AR57),"Third",AS57),"Forth",AT57),"Fifth",AU57&amp;" "))</f>
        <v/>
      </c>
      <c r="AJ57" t="str">
        <f t="shared" si="24"/>
        <v/>
      </c>
      <c r="AK57" t="str">
        <f t="array" ref="AK57">IF(SUM(COUNTIF(H57,{"*Deep*";"*Bass*";"*Slap*"})),"**Tiësto**Imanbek**",IF(SUM(COUNTIF(H57,{"*Lo-Fi*"})),"**L.Dre**Yasumu**",IF(SUM(COUNTIF(H57,{"*Tech*"})),"**Mau P**Gorgon City**",IF(SUM(COUNTIF(H57,{"*Indie/Chill Dance*"})),"**Felix Jaehn**Lost Frequencies**",IF(SUM(COUNTIF(H57,{"*Piano*"})),"**Avicii**Eric Prydz**",IF(SUM(COUNTIF(H57,{"*EDM*"})),"**David Guetta**Swedish House Mafia**",IF(H57="","","")))))))</f>
        <v/>
      </c>
      <c r="AP57" s="9" t="str">
        <f t="shared" si="20"/>
        <v/>
      </c>
      <c r="AQ57" s="9" t="str">
        <f ca="1">IFERROR(_xlfn.TEXTBEFORE(AP57,","),AP57)</f>
        <v/>
      </c>
      <c r="AR57" s="9" t="str">
        <f ca="1">IFERROR(TRIM(SUBSTITUTE(SUBSTITUTE(SUBSTITUTE(SUBSTITUTE(_xlfn.TEXTAFTER(AP57,",",1),AS57,""),AT57,""),AU57,""),",","")),"")</f>
        <v/>
      </c>
      <c r="AS57" s="9" t="str">
        <f ca="1">IFERROR(SUBSTITUTE(SUBSTITUTE(SUBSTITUTE(_xlfn.TEXTAFTER(AP57,",",2),AT57,""),",",""),AU57,""),"")</f>
        <v/>
      </c>
      <c r="AT57" s="9" t="str">
        <f ca="1">IFERROR(SUBSTITUTE(SUBSTITUTE(_xlfn.TEXTAFTER(AP57,",",3),AU57,""),",",""),"")</f>
        <v/>
      </c>
      <c r="AU57" s="9" t="str">
        <f ca="1">IFERROR(_xlfn.TEXTAFTER(AP57,",",4),"")</f>
        <v/>
      </c>
      <c r="BE57" t="s">
        <v>33</v>
      </c>
      <c r="BF57" t="s">
        <v>158</v>
      </c>
      <c r="BG57" t="s">
        <v>159</v>
      </c>
      <c r="BH57" t="str">
        <f>+map_country[[#This Row],[rand]]</f>
        <v>lo_fi_country[rand]</v>
      </c>
      <c r="BI57" t="str">
        <f>"R"&amp;ROW(BH35)&amp;"C"&amp;COLUMN(BH35)</f>
        <v>R35C60</v>
      </c>
      <c r="BJ57" t="str">
        <f>+SUBSTITUTE(map_country[[#This Row],[min]],MID(map_country[[#This Row],[min]],2,2),MID(map_country[[#This Row],[min]],2,2)+1)</f>
        <v>R36C60</v>
      </c>
      <c r="BK57" t="str">
        <f>+SUBSTITUTE(map_country[[#This Row],[min]],MID(map_country[[#This Row],[min]],2,2),MID(map_country[[#This Row],[min]],2,2)+2)</f>
        <v>R37C60</v>
      </c>
      <c r="BL57" t="str">
        <f>+SUBSTITUTE(map_country[[#This Row],[min]],MID(map_country[[#This Row],[min]],2,2),MID(map_country[[#This Row],[min]],2,2)+3)</f>
        <v>R38C60</v>
      </c>
      <c r="BM57" t="str">
        <f>+SUBSTITUTE(map_country[[#This Row],[min]],MID(map_country[[#This Row],[min]],2,2),MID(map_country[[#This Row],[min]],2,2)+4)</f>
        <v>R39C60</v>
      </c>
      <c r="BN57" t="str">
        <f>+SUBSTITUTE(map_country[[#This Row],[min]],MID(map_country[[#This Row],[min]],2,2),MID(map_country[[#This Row],[min]],2,2))</f>
        <v>R35C60</v>
      </c>
      <c r="BO57" t="str">
        <f>+SUBSTITUTE(map_country[[#This Row],[min]],MID(map_country[[#This Row],[min]],2,2),MID(map_country[[#This Row],[min]],2,2)+1)</f>
        <v>R36C60</v>
      </c>
      <c r="BP57" t="str">
        <f>+SUBSTITUTE(map_country[[#This Row],[min]],MID(map_country[[#This Row],[min]],2,2),MID(map_country[[#This Row],[min]],2,2)+2)</f>
        <v>R37C60</v>
      </c>
      <c r="BQ57" t="str">
        <f>+SUBSTITUTE(map_country[[#This Row],[min]],MID(map_country[[#This Row],[min]],2,2),MID(map_country[[#This Row],[min]],2,2)+3)</f>
        <v>R38C60</v>
      </c>
      <c r="BR57" t="str">
        <f>+SUBSTITUTE(map_country[[#This Row],[min]],MID(map_country[[#This Row],[min]],2,2),MID(map_country[[#This Row],[min]],2,2)+4)</f>
        <v>R39C60</v>
      </c>
    </row>
    <row r="58" spans="6:70" x14ac:dyDescent="0.25">
      <c r="F58" s="3"/>
      <c r="P58" t="str">
        <f t="shared" si="15"/>
        <v/>
      </c>
      <c r="Q58" t="str">
        <f t="shared" si="16"/>
        <v/>
      </c>
      <c r="R58" t="str">
        <f t="shared" si="17"/>
        <v/>
      </c>
      <c r="S58" t="str">
        <f t="array" ref="S58">IF(SUM(COUNTIF(H58,{"*Deep*";"*Bass*";"*Slap*"})),"Citas:Deep House",IF(SUM(COUNTIF(H58,{"*Lo-Fi*"})),"Citas:Lo-Fi",IF(SUM(COUNTIF(H58,{"*Tech*"})),"Citas:Tech House",IF(SUM(COUNTIF(H58,{"*Indie/Chill Dance*"})),"Citas:Indie/Chill Dance",IF(SUM(COUNTIF(H58,{"*Piano*"})),"Citas:Piano House",IF(SUM(COUNTIF(H58,{"*EDM*"})),"edm dance",IF(H58="","","")))))))</f>
        <v/>
      </c>
      <c r="T58" t="str">
        <f t="array" ref="T58">IF(SUM(COUNTIF(H58,{"*Deep*";"*Bass*";"*Slap*"})),"energetic",IF(SUM(COUNTIF(H58,{"*Lo-Fi*"})),"calm",IF(SUM(COUNTIF(H58,{"*Tech*"})),"energetic",IF(SUM(COUNTIF(H58,{"*Indie/Chill Dance*"})),"chillout",IF(SUM(COUNTIF(H58,{"*Piano*"})),"energetic",IF(SUM(COUNTIF(H58,{"*EDM*"})),"energetic",IF(H58="","","")))))))</f>
        <v/>
      </c>
      <c r="U58" t="str">
        <f t="array" ref="U58">IF(SUM(COUNTIF(H58,{"*Tech*";"*EDM*";"*Indie*";"*Deep*";"*Piano*";"*Slap*";"*Brazilian Bass*"})),"Song would perfectly fit in any dance mood playlist! Label will invest up to 5000 EUR advertising on facebook and instagram ads aswell as promoting it over label and label partners playlists, radio stations and press.",IF(SUM(COUNTIF(H58,{"*Lo-Fi*"})),"Song would perfectly fit in any Lo-Fi mood playlist! Label will invest up to 5000 EUR advertising on facebook and instagram ads aswell as promoting it over label and label partners playlists, radio stations and press.",IF(H58="","","")))</f>
        <v/>
      </c>
      <c r="V58" t="str">
        <f t="shared" si="18"/>
        <v/>
      </c>
      <c r="X58" t="str">
        <f t="shared" si="23"/>
        <v/>
      </c>
      <c r="Z58" t="str">
        <f t="array" aca="1" ref="Z58" ca="1">+IF(H58="LO-FI","",IFERROR(INDEX(INDIRECT((_xlfn.XLOOKUP(H58,map_location[Genre],map_location[location]))),RANK(INDIRECT((_xlfn.XLOOKUP(H58,map_location[Genre],map_location[min])),FALSE),INDIRECT((_xlfn.XLOOKUP(H58,map_location[Genre],map_location[rand]))),1)),""))</f>
        <v/>
      </c>
      <c r="AA58" t="str">
        <f t="array" ref="AA58">IF(SUM(COUNTIF(H58,{"*Deep*";"*Bass*";"*Slap*"})),"**Deep House**House**Dance**",IF(SUM(COUNTIF(H58,{"*Lo-Fi*"})),"**Lo-Fi Pop**Lo-Fi Beats**Lo-Fi**",IF(SUM(COUNTIF(H58,{"*Tech*"})),"**Deep House**Tech House**Dance**",IF(SUM(COUNTIF(H58,{"*Indie/Chill Dance*"})),"**Indie Dance**Indie Electronic**Dance Pop**",IF(SUM(COUNTIF(H58,{"*Piano*"})),"**House**Electro house**Melodic House**",IF(SUM(COUNTIF(H58,{"*EDM*"})),"**EDM**Electro house**Dance Pop**",IF(H58="","","")))))))</f>
        <v/>
      </c>
      <c r="AB58" t="str">
        <f t="array" ref="AB58">IF(SUM(COUNTIF(H58,{"*Deep*";"*Bass*";"*Slap*"})),"Energetic,Happy",IF(SUM(COUNTIF(H58,{"*Lo-Fi*"})),"Romantic,Chill",IF(SUM(COUNTIF(H58,{"*Tech*"})),"Energetic,Happy",IF(SUM(COUNTIF(H58,{"*Indie/Chill Dance*"})),"Energetic,Chill",IF(SUM(COUNTIF(H58,{"*Piano*"})),"Energetic,Happy",IF(SUM(COUNTIF(H58,{"*EDM*"})),"Energetic,Happy",IF(H58="","","")))))))</f>
        <v/>
      </c>
      <c r="AC58" t="str">
        <f t="array" ref="AC58">IF(SUM(COUNTIF(H58,{"*Deep*";"*Bass*";"*Slap*"})),"None of these",IF(SUM(COUNTIF(H58,{"*Lo-Fi*"})),"Holiday,Beats",IF(SUM(COUNTIF(H58,{"*Tech*"})),"None of these",IF(SUM(COUNTIF(H58,{"*Indie/Chill Dance*"})),"None of these",IF(SUM(COUNTIF(H58,{"*Piano*"})),"None of these",IF(SUM(COUNTIF(H58,{"*EDM*"})),"None of these",IF(H58="","","")))))))</f>
        <v/>
      </c>
      <c r="AD58" t="str">
        <f t="array" ref="AD58">IF(SUM(COUNTIF(H58,{"*Deep*";"*Bass*";"*Slap*"})),"Samples,Synthesizer,Bass Guitar,Piano,Drum Kit,Electric Guitar",IF(SUM(COUNTIF(H58,{"*Lo-Fi*"})),"Samples,Synthesizer,Bass Guitar,Piano,Drum Kit,Electric Guitar",IF(SUM(COUNTIF(H58,{"*Tech*"})),"Samples,Synthesizer,Bass Guitar,Piano,Drum Kit,Electric Guitar",IF(SUM(COUNTIF(H58,{"*Indie/Chill Dance*"})),"Samples,Synthesizer,Bass Guitar,Piano,Drum Kit,Electric Guitar",IF(SUM(COUNTIF(H58,{"*Piano*"})),"Samples,Synthesizer,Bass Guitar,Piano,Drum Kit,Electric Guitar",IF(SUM(COUNTIF(H58,{"*EDM*"})),"Samples,Synthesizer,Bass Guitar,Piano,Drum Kit,Electric Guitar",IF(H58="","","")))))))</f>
        <v/>
      </c>
      <c r="AE58" t="str">
        <f t="array" ref="AE58">IF(N58="Cover","Yes",IF(SUM(COUNTIF(N58,{"*Radio/Extended*";"*Radio*";"*Remix*"})),"No",""))</f>
        <v/>
      </c>
      <c r="AF58" t="str">
        <f t="array" ref="AF58">IF(N58="Remix","Yes",IF(SUM(COUNTIF(N58,{"*Radio/Extended*";"*Radio*";"*Cover*"})),"No",""))</f>
        <v/>
      </c>
      <c r="AG58" t="str">
        <f t="shared" si="19"/>
        <v/>
      </c>
      <c r="AH58" t="str">
        <f t="array" aca="1" ref="AH58" ca="1">+TRIM(SUBSTITUTE(SUBSTITUTE(SUBSTITUTE(SUBSTITUTE(IFERROR(AQ58&amp;" "&amp;+_xlfn.XLOOKUP(((SUM(LEN(AP58))-SUM(LEN(SUBSTITUTE(AP58,",",""))))/LEN(",")+1)&amp;H58,#REF!&amp;#REF!,#REF!)&amp;CHAR(34)&amp;B58&amp;CHAR(34)&amp;"!"&amp;_xlfn.XLOOKUP(H58,#REF!,#REF!&amp;#REF!),""),"Second",AR58),"Third",AS58),"Forth",AT58),"Fifth",AU58&amp;" "))</f>
        <v/>
      </c>
      <c r="AJ58" t="str">
        <f t="shared" si="24"/>
        <v/>
      </c>
      <c r="AK58" t="str">
        <f t="array" ref="AK58">IF(SUM(COUNTIF(H58,{"*Deep*";"*Bass*";"*Slap*"})),"**Tiësto**Imanbek**",IF(SUM(COUNTIF(H58,{"*Lo-Fi*"})),"**L.Dre**Yasumu**",IF(SUM(COUNTIF(H58,{"*Tech*"})),"**Mau P**Gorgon City**",IF(SUM(COUNTIF(H58,{"*Indie/Chill Dance*"})),"**Felix Jaehn**Lost Frequencies**",IF(SUM(COUNTIF(H58,{"*Piano*"})),"**Avicii**Eric Prydz**",IF(SUM(COUNTIF(H58,{"*EDM*"})),"**David Guetta**Swedish House Mafia**",IF(H58="","","")))))))</f>
        <v/>
      </c>
      <c r="AP58" s="9" t="str">
        <f t="shared" si="20"/>
        <v/>
      </c>
      <c r="AQ58" s="9" t="str">
        <f ca="1">IFERROR(_xlfn.TEXTBEFORE(AP58,","),AP58)</f>
        <v/>
      </c>
      <c r="AR58" s="9" t="str">
        <f ca="1">IFERROR(TRIM(SUBSTITUTE(SUBSTITUTE(SUBSTITUTE(SUBSTITUTE(_xlfn.TEXTAFTER(AP58,",",1),AS58,""),AT58,""),AU58,""),",","")),"")</f>
        <v/>
      </c>
      <c r="AS58" s="9" t="str">
        <f ca="1">IFERROR(SUBSTITUTE(SUBSTITUTE(SUBSTITUTE(_xlfn.TEXTAFTER(AP58,",",2),AT58,""),",",""),AU58,""),"")</f>
        <v/>
      </c>
      <c r="AT58" s="9" t="str">
        <f ca="1">IFERROR(SUBSTITUTE(SUBSTITUTE(_xlfn.TEXTAFTER(AP58,",",3),AU58,""),",",""),"")</f>
        <v/>
      </c>
      <c r="AU58" s="9" t="str">
        <f ca="1">IFERROR(_xlfn.TEXTAFTER(AP58,",",4),"")</f>
        <v/>
      </c>
      <c r="BE58" t="s">
        <v>57</v>
      </c>
      <c r="BF58" t="s">
        <v>160</v>
      </c>
      <c r="BG58" t="s">
        <v>161</v>
      </c>
      <c r="BH58" t="str">
        <f>+map_country[[#This Row],[rand]]</f>
        <v>edm_country[rand]</v>
      </c>
      <c r="BI58" t="str">
        <f>"R"&amp;ROW(BT21)&amp;"C"&amp;COLUMN(BT21)</f>
        <v>R21C72</v>
      </c>
      <c r="BJ58" t="str">
        <f>+SUBSTITUTE(map_country[[#This Row],[min]],MID(map_country[[#This Row],[min]],2,2),MID(map_country[[#This Row],[min]],2,2)+1)</f>
        <v>R22C72</v>
      </c>
      <c r="BK58" t="str">
        <f>+SUBSTITUTE(map_country[[#This Row],[min]],MID(map_country[[#This Row],[min]],2,2),MID(map_country[[#This Row],[min]],2,2)+2)</f>
        <v>R23C72</v>
      </c>
      <c r="BL58" t="str">
        <f>+SUBSTITUTE(map_country[[#This Row],[min]],MID(map_country[[#This Row],[min]],2,2),MID(map_country[[#This Row],[min]],2,2)+3)</f>
        <v>R24C72</v>
      </c>
      <c r="BM58" t="str">
        <f>+SUBSTITUTE(map_country[[#This Row],[min]],MID(map_country[[#This Row],[min]],2,2),MID(map_country[[#This Row],[min]],2,2)+4)</f>
        <v>R25C72</v>
      </c>
      <c r="BN58" t="str">
        <f>+SUBSTITUTE(map_country[[#This Row],[min]],MID(map_country[[#This Row],[min]],2,2),MID(map_country[[#This Row],[min]],2,2)+5)</f>
        <v>R26C72</v>
      </c>
      <c r="BO58" t="str">
        <f>+SUBSTITUTE(map_country[[#This Row],[min]],MID(map_country[[#This Row],[min]],2,2),MID(map_country[[#This Row],[min]],2,2)+6)</f>
        <v>R27C72</v>
      </c>
      <c r="BP58" t="str">
        <f>+SUBSTITUTE(map_country[[#This Row],[min]],MID(map_country[[#This Row],[min]],2,2),MID(map_country[[#This Row],[min]],2,2)+7)</f>
        <v>R28C72</v>
      </c>
      <c r="BQ58" t="str">
        <f>+SUBSTITUTE(map_country[[#This Row],[min]],MID(map_country[[#This Row],[min]],2,2),MID(map_country[[#This Row],[min]],2,2)+8)</f>
        <v>R29C72</v>
      </c>
      <c r="BR58" t="str">
        <f>+SUBSTITUTE(map_country[[#This Row],[min]],MID(map_country[[#This Row],[min]],2,2),MID(map_country[[#This Row],[min]],2,2)+9)</f>
        <v>R30C72</v>
      </c>
    </row>
    <row r="59" spans="6:70" x14ac:dyDescent="0.25">
      <c r="F59" s="3"/>
      <c r="P59" t="str">
        <f t="shared" si="15"/>
        <v/>
      </c>
      <c r="Q59" t="str">
        <f t="shared" si="16"/>
        <v/>
      </c>
      <c r="R59" t="str">
        <f t="shared" si="17"/>
        <v/>
      </c>
      <c r="S59" t="str">
        <f t="array" ref="S59">IF(SUM(COUNTIF(H59,{"*Deep*";"*Bass*";"*Slap*"})),"Citas:Deep House",IF(SUM(COUNTIF(H59,{"*Lo-Fi*"})),"Citas:Lo-Fi",IF(SUM(COUNTIF(H59,{"*Tech*"})),"Citas:Tech House",IF(SUM(COUNTIF(H59,{"*Indie/Chill Dance*"})),"Citas:Indie/Chill Dance",IF(SUM(COUNTIF(H59,{"*Piano*"})),"Citas:Piano House",IF(SUM(COUNTIF(H59,{"*EDM*"})),"edm dance",IF(H59="","","")))))))</f>
        <v/>
      </c>
      <c r="T59" t="str">
        <f t="array" ref="T59">IF(SUM(COUNTIF(H59,{"*Deep*";"*Bass*";"*Slap*"})),"energetic",IF(SUM(COUNTIF(H59,{"*Lo-Fi*"})),"calm",IF(SUM(COUNTIF(H59,{"*Tech*"})),"energetic",IF(SUM(COUNTIF(H59,{"*Indie/Chill Dance*"})),"chillout",IF(SUM(COUNTIF(H59,{"*Piano*"})),"energetic",IF(SUM(COUNTIF(H59,{"*EDM*"})),"energetic",IF(H59="","","")))))))</f>
        <v/>
      </c>
      <c r="U59" t="str">
        <f t="array" ref="U59">IF(SUM(COUNTIF(H59,{"*Tech*";"*EDM*";"*Indie*";"*Deep*";"*Piano*";"*Slap*";"*Brazilian Bass*"})),"Song would perfectly fit in any dance mood playlist! Label will invest up to 5000 EUR advertising on facebook and instagram ads aswell as promoting it over label and label partners playlists, radio stations and press.",IF(SUM(COUNTIF(H59,{"*Lo-Fi*"})),"Song would perfectly fit in any Lo-Fi mood playlist! Label will invest up to 5000 EUR advertising on facebook and instagram ads aswell as promoting it over label and label partners playlists, radio stations and press.",IF(H59="","","")))</f>
        <v/>
      </c>
      <c r="V59" t="str">
        <f t="shared" si="18"/>
        <v/>
      </c>
      <c r="X59" t="str">
        <f t="shared" si="23"/>
        <v/>
      </c>
      <c r="Z59" t="str">
        <f t="array" aca="1" ref="Z59" ca="1">+IFERROR(INDEX(INDIRECT((_xlfn.XLOOKUP(H59,map_location[Genre],map_location[location]))),RANK(INDIRECT((_xlfn.XLOOKUP(H59,map_location[Genre],map_location[MIN+1])),FALSE),INDIRECT((_xlfn.XLOOKUP(H59,map_location[Genre],map_location[rand]))),1)),"")</f>
        <v/>
      </c>
      <c r="AA59" t="str">
        <f t="array" ref="AA59">IF(SUM(COUNTIF(H59,{"*Deep*";"*Bass*";"*Slap*"})),"**Deep House**House**Dance**",IF(SUM(COUNTIF(H59,{"*Lo-Fi*"})),"**Lo-Fi Pop**Lo-Fi Beats**Lo-Fi**",IF(SUM(COUNTIF(H59,{"*Tech*"})),"**Deep House**Tech House**Dance**",IF(SUM(COUNTIF(H59,{"*Indie/Chill Dance*"})),"**Indie Dance**Indie Electronic**Dance Pop**",IF(SUM(COUNTIF(H59,{"*Piano*"})),"**House**Electro house**Melodic House**",IF(SUM(COUNTIF(H59,{"*EDM*"})),"**EDM**Electro house**Dance Pop**",IF(H59="","","")))))))</f>
        <v/>
      </c>
      <c r="AB59" t="str">
        <f t="array" ref="AB59">IF(SUM(COUNTIF(H59,{"*Deep*";"*Bass*";"*Slap*"})),"Energetic,Happy",IF(SUM(COUNTIF(H59,{"*Lo-Fi*"})),"Romantic,Chill",IF(SUM(COUNTIF(H59,{"*Tech*"})),"Energetic,Happy",IF(SUM(COUNTIF(H59,{"*Indie/Chill Dance*"})),"Energetic,Chill",IF(SUM(COUNTIF(H59,{"*Piano*"})),"Energetic,Happy",IF(SUM(COUNTIF(H59,{"*EDM*"})),"Energetic,Happy",IF(H59="","","")))))))</f>
        <v/>
      </c>
      <c r="AC59" t="str">
        <f t="array" ref="AC59">IF(SUM(COUNTIF(H59,{"*Deep*";"*Bass*";"*Slap*"})),"None of these",IF(SUM(COUNTIF(H59,{"*Lo-Fi*"})),"Holiday,Beats",IF(SUM(COUNTIF(H59,{"*Tech*"})),"None of these",IF(SUM(COUNTIF(H59,{"*Indie/Chill Dance*"})),"None of these",IF(SUM(COUNTIF(H59,{"*Piano*"})),"None of these",IF(SUM(COUNTIF(H59,{"*EDM*"})),"None of these",IF(H59="","","")))))))</f>
        <v/>
      </c>
      <c r="AD59" t="str">
        <f t="array" ref="AD59">IF(SUM(COUNTIF(H59,{"*Deep*";"*Bass*";"*Slap*"})),"Samples,Synthesizer,Bass Guitar,Piano,Drum Kit,Electric Guitar",IF(SUM(COUNTIF(H59,{"*Lo-Fi*"})),"Samples,Synthesizer,Bass Guitar,Piano,Drum Kit,Electric Guitar",IF(SUM(COUNTIF(H59,{"*Tech*"})),"Samples,Synthesizer,Bass Guitar,Piano,Drum Kit,Electric Guitar",IF(SUM(COUNTIF(H59,{"*Indie/Chill Dance*"})),"Samples,Synthesizer,Bass Guitar,Piano,Drum Kit,Electric Guitar",IF(SUM(COUNTIF(H59,{"*Piano*"})),"Samples,Synthesizer,Bass Guitar,Piano,Drum Kit,Electric Guitar",IF(SUM(COUNTIF(H59,{"*EDM*"})),"Samples,Synthesizer,Bass Guitar,Piano,Drum Kit,Electric Guitar",IF(H59="","","")))))))</f>
        <v/>
      </c>
      <c r="AF59" t="str">
        <f t="array" ref="AF59">IF(N59="Remix","Yes",IF(SUM(COUNTIF(N59,{"*Radio/Extended*";"*Radio*";"*Cover*"})),"No",""))</f>
        <v/>
      </c>
      <c r="AG59" t="str">
        <f t="shared" si="19"/>
        <v/>
      </c>
      <c r="AH59" t="str">
        <f t="array" aca="1" ref="AH59" ca="1">+TRIM(SUBSTITUTE(SUBSTITUTE(SUBSTITUTE(SUBSTITUTE(IFERROR(AQ59&amp;" "&amp;+_xlfn.XLOOKUP(((SUM(LEN(AP59))-SUM(LEN(SUBSTITUTE(AP59,",",""))))/LEN(",")+1)&amp;H59,#REF!&amp;#REF!,#REF!)&amp;CHAR(34)&amp;B59&amp;CHAR(34)&amp;"!"&amp;_xlfn.XLOOKUP(H59,#REF!,#REF!&amp;#REF!),""),"Second",AR59),"Third",AS59),"Forth",AT59),"Fifth",AU59&amp;" "))</f>
        <v/>
      </c>
      <c r="AJ59" t="str">
        <f t="shared" si="24"/>
        <v/>
      </c>
      <c r="AK59" t="str">
        <f t="array" ref="AK59">IF(SUM(COUNTIF(H59,{"*Deep*";"*Bass*";"*Slap*"})),"**Tiësto**Imanbek**",IF(SUM(COUNTIF(H59,{"*Lo-Fi*"})),"**L.Dre**Yasumu**",IF(SUM(COUNTIF(H59,{"*Tech*"})),"**Mau P**Gorgon City**",IF(SUM(COUNTIF(H59,{"*Indie/Chill Dance*"})),"**Felix Jaehn**Lost Frequencies**",IF(SUM(COUNTIF(H59,{"*Piano*"})),"**Avicii**Eric Prydz**",IF(SUM(COUNTIF(H59,{"*EDM*"})),"**David Guetta**Swedish House Mafia**",IF(H59="","","")))))))</f>
        <v/>
      </c>
      <c r="AP59" s="9" t="str">
        <f t="shared" si="20"/>
        <v/>
      </c>
      <c r="AQ59" s="9" t="str">
        <f ca="1">IFERROR(_xlfn.TEXTBEFORE(AP59,","),AP59)</f>
        <v/>
      </c>
      <c r="AR59" s="9" t="str">
        <f ca="1">IFERROR(TRIM(SUBSTITUTE(SUBSTITUTE(SUBSTITUTE(SUBSTITUTE(_xlfn.TEXTAFTER(AP59,",",1),AS59,""),AT59,""),AU59,""),",","")),"")</f>
        <v/>
      </c>
      <c r="AS59" s="9" t="str">
        <f ca="1">IFERROR(SUBSTITUTE(SUBSTITUTE(SUBSTITUTE(_xlfn.TEXTAFTER(AP59,",",2),AT59,""),",",""),AU59,""),"")</f>
        <v/>
      </c>
      <c r="AT59" s="9" t="str">
        <f ca="1">IFERROR(SUBSTITUTE(SUBSTITUTE(_xlfn.TEXTAFTER(AP59,",",3),AU59,""),",",""),"")</f>
        <v/>
      </c>
      <c r="AU59" s="9" t="str">
        <f ca="1">IFERROR(_xlfn.TEXTAFTER(AP59,",",4),"")</f>
        <v/>
      </c>
    </row>
    <row r="60" spans="6:70" x14ac:dyDescent="0.25">
      <c r="F60" s="3"/>
      <c r="P60" t="str">
        <f t="shared" si="15"/>
        <v/>
      </c>
      <c r="Q60" t="str">
        <f t="shared" si="16"/>
        <v/>
      </c>
      <c r="R60" t="str">
        <f t="shared" si="17"/>
        <v/>
      </c>
      <c r="S60" t="str">
        <f t="array" ref="S60">IF(SUM(COUNTIF(H60,{"*Deep*";"*Bass*";"*Slap*"})),"Citas:Deep House",IF(SUM(COUNTIF(H60,{"*Lo-Fi*"})),"Citas:Lo-Fi",IF(SUM(COUNTIF(H60,{"*Tech*"})),"Citas:Tech House",IF(SUM(COUNTIF(H60,{"*Indie/Chill Dance*"})),"Citas:Indie/Chill Dance",IF(SUM(COUNTIF(H60,{"*Piano*"})),"Citas:Piano House",IF(SUM(COUNTIF(H60,{"*EDM*"})),"edm dance",IF(H60="","","")))))))</f>
        <v/>
      </c>
      <c r="T60" t="str">
        <f t="array" ref="T60">IF(SUM(COUNTIF(H60,{"*Deep*";"*Bass*";"*Slap*"})),"energetic",IF(SUM(COUNTIF(H60,{"*Lo-Fi*"})),"calm",IF(SUM(COUNTIF(H60,{"*Tech*"})),"energetic",IF(SUM(COUNTIF(H60,{"*Indie/Chill Dance*"})),"chillout",IF(SUM(COUNTIF(H60,{"*Piano*"})),"energetic",IF(SUM(COUNTIF(H60,{"*EDM*"})),"energetic",IF(H60="","","")))))))</f>
        <v/>
      </c>
      <c r="U60" t="str">
        <f t="array" ref="U60">IF(SUM(COUNTIF(H60,{"*Tech*";"*EDM*";"*Indie*";"*Deep*";"*Piano*";"*Slap*";"*Brazilian Bass*"})),"Song would perfectly fit in any dance mood playlist! Label will invest up to 5000 EUR advertising on facebook and instagram ads aswell as promoting it over label and label partners playlists, radio stations and press.",IF(SUM(COUNTIF(H60,{"*Lo-Fi*"})),"Song would perfectly fit in any Lo-Fi mood playlist! Label will invest up to 5000 EUR advertising on facebook and instagram ads aswell as promoting it over label and label partners playlists, radio stations and press.",IF(H60="","","")))</f>
        <v/>
      </c>
      <c r="V60" t="str">
        <f t="shared" si="18"/>
        <v/>
      </c>
      <c r="X60" t="str">
        <f t="shared" si="23"/>
        <v/>
      </c>
      <c r="Z60" t="str">
        <f t="array" aca="1" ref="Z60" ca="1">+IFERROR(INDEX(INDIRECT((_xlfn.XLOOKUP(H60,map_location[Genre],map_location[location]))),RANK(INDIRECT((_xlfn.XLOOKUP(H60,map_location[Genre],map_location[MIN+2])),FALSE),INDIRECT((_xlfn.XLOOKUP(H60,map_location[Genre],map_location[rand]))),1)),"")</f>
        <v/>
      </c>
      <c r="AA60" t="str">
        <f t="array" ref="AA60">IF(SUM(COUNTIF(H60,{"*Deep*"})),"**Deep House**House**Club Music**",IF(SUM(COUNTIF(H60,{"*Lo-Fi*"})),"**Lo-Fi Pop**Lo-Fi Beats**Lo-Fi**",IF(SUM(COUNTIF(H60,{"*Tech House*"})),"**Deep House**Tech House**Dance**",IF(SUM(COUNTIF(H60,{"*Indie/Chill Dance*"})),"**Indie Dance**Indie Electronic**Dance Pop**",IF(SUM(COUNTIF(H60,{"*Piano House*"})),"**House**Electro House**Melodic House**",IF(SUM(COUNTIF(H60,{"*EDM*"})),"**EDM**Electro House**Dance Pop**",IF(H60="","","")))))))</f>
        <v/>
      </c>
      <c r="AB60" t="str">
        <f t="array" ref="AB60">IF(SUM(COUNTIF(H60,{"*Deep*";"*Bass*";"*Slap*"})),"Energetic,Happy",IF(SUM(COUNTIF(H60,{"*Lo-Fi*"})),"Romantic,Chill",IF(SUM(COUNTIF(H60,{"*Tech*"})),"Energetic,Happy",IF(SUM(COUNTIF(H60,{"*Indie/Chill Dance*"})),"Energetic,Chill",IF(SUM(COUNTIF(H60,{"*Piano*"})),"Energetic,Happy",IF(SUM(COUNTIF(H60,{"*EDM*"})),"Energetic,Happy",IF(H60="","","")))))))</f>
        <v/>
      </c>
      <c r="AC60" t="str">
        <f t="array" ref="AC60">IF(SUM(COUNTIF(H60,{"*Deep*";"*Bass*";"*Slap*"})),"None of these",IF(SUM(COUNTIF(H60,{"*Lo-Fi*"})),"Holiday,Beats",IF(SUM(COUNTIF(H60,{"*Tech*"})),"None of these",IF(SUM(COUNTIF(H60,{"*Indie/Chill Dance*"})),"None of these",IF(SUM(COUNTIF(H60,{"*Piano*"})),"None of these",IF(SUM(COUNTIF(H60,{"*EDM*"})),"None of these",IF(H60="","","")))))))</f>
        <v/>
      </c>
      <c r="AD60" t="str">
        <f t="array" ref="AD60">IF(SUM(COUNTIF(H60,{"*Deep*";"*Bass*";"*Slap*"})),"Samples,Synthesizer,Bass Guitar,Piano,Drum Kit,Electric Guitar",IF(SUM(COUNTIF(H60,{"*Lo-Fi*"})),"Samples,Synthesizer,Bass Guitar,Piano,Drum Kit,Electric Guitar",IF(SUM(COUNTIF(H60,{"*Tech*"})),"Samples,Synthesizer,Bass Guitar,Piano,Drum Kit,Electric Guitar",IF(SUM(COUNTIF(H60,{"*Indie/Chill Dance*"})),"Samples,Synthesizer,Bass Guitar,Piano,Drum Kit,Electric Guitar",IF(SUM(COUNTIF(H60,{"*Piano*"})),"Samples,Synthesizer,Bass Guitar,Piano,Drum Kit,Electric Guitar",IF(SUM(COUNTIF(H60,{"*EDM*"})),"Samples,Synthesizer,Bass Guitar,Piano,Drum Kit,Electric Guitar",IF(H60="","","")))))))</f>
        <v/>
      </c>
      <c r="AF60" t="str">
        <f t="array" ref="AF60">IF(N60="Remix","Yes",IF(SUM(COUNTIF(N60,{"*Radio/Extended*";"*Radio*";"*Cover*"})),"No",""))</f>
        <v/>
      </c>
      <c r="AG60" t="str">
        <f t="shared" si="19"/>
        <v/>
      </c>
      <c r="AH60" t="str">
        <f t="array" aca="1" ref="AH60" ca="1">+TRIM(SUBSTITUTE(SUBSTITUTE(SUBSTITUTE(SUBSTITUTE(IFERROR(AQ60&amp;" "&amp;+_xlfn.XLOOKUP(((SUM(LEN(AP60))-SUM(LEN(SUBSTITUTE(AP60,",",""))))/LEN(",")+1)&amp;H60,#REF!&amp;#REF!,#REF!)&amp;CHAR(34)&amp;B60&amp;CHAR(34)&amp;"!"&amp;_xlfn.XLOOKUP(H60,#REF!,#REF!&amp;#REF!),""),"Second",AR60),"Third",AS60),"Forth",AT60),"Fifth",AU60&amp;" "))</f>
        <v/>
      </c>
      <c r="AJ60" t="str">
        <f t="shared" si="24"/>
        <v/>
      </c>
      <c r="AK60" t="str">
        <f t="array" ref="AK60">IF(SUM(COUNTIF(H60,{"*Deep*";"*Bass*";"*Slap*"})),"**Tiësto**Imanbek**",IF(SUM(COUNTIF(H60,{"*Lo-Fi*"})),"**L.Dre**Yasumu**",IF(SUM(COUNTIF(H60,{"*Tech*"})),"**Mau P**Gorgon City**",IF(SUM(COUNTIF(H60,{"*Indie/Chill Dance*"})),"**Felix Jaehn**Lost Frequencies**",IF(SUM(COUNTIF(H60,{"*Piano*"})),"**Avicii**Eric Prydz**",IF(SUM(COUNTIF(H60,{"*EDM*"})),"**David Guetta**Swedish House Mafia**",IF(H60="","","")))))))</f>
        <v/>
      </c>
      <c r="AP60" s="9" t="str">
        <f t="shared" si="20"/>
        <v/>
      </c>
      <c r="AQ60" s="9" t="str">
        <f ca="1">IFERROR(_xlfn.TEXTBEFORE(AP60,","),AP60)</f>
        <v/>
      </c>
      <c r="AR60" s="9" t="str">
        <f ca="1">IFERROR(TRIM(SUBSTITUTE(SUBSTITUTE(SUBSTITUTE(SUBSTITUTE(_xlfn.TEXTAFTER(AP60,",",1),AS60,""),AT60,""),AU60,""),",","")),"")</f>
        <v/>
      </c>
      <c r="AS60" s="9" t="str">
        <f ca="1">IFERROR(SUBSTITUTE(SUBSTITUTE(SUBSTITUTE(_xlfn.TEXTAFTER(AP60,",",2),AT60,""),",",""),AU60,""),"")</f>
        <v/>
      </c>
      <c r="AT60" s="9" t="str">
        <f ca="1">IFERROR(SUBSTITUTE(SUBSTITUTE(_xlfn.TEXTAFTER(AP60,",",3),AU60,""),",",""),"")</f>
        <v/>
      </c>
      <c r="AU60" s="9" t="str">
        <f ca="1">IFERROR(_xlfn.TEXTAFTER(AP60,",",4),"")</f>
        <v/>
      </c>
    </row>
    <row r="61" spans="6:70" x14ac:dyDescent="0.25">
      <c r="F61" s="3"/>
      <c r="P61" t="str">
        <f t="shared" si="15"/>
        <v/>
      </c>
      <c r="Q61" t="str">
        <f t="shared" si="16"/>
        <v/>
      </c>
      <c r="R61" t="str">
        <f t="shared" si="17"/>
        <v/>
      </c>
      <c r="S61" t="str">
        <f t="array" ref="S61">IF(SUM(COUNTIF(H61,{"*Deep*";"*Bass*";"*Slap*"})),"Citas:Deep House",IF(SUM(COUNTIF(H61,{"*Lo-Fi*"})),"Citas:Lo-Fi",IF(SUM(COUNTIF(H61,{"*Tech*"})),"Citas:Tech House",IF(SUM(COUNTIF(H61,{"*Indie/Chill Dance*"})),"Citas:Indie/Chill Dance",IF(SUM(COUNTIF(H61,{"*Piano*"})),"Citas:Piano House",IF(SUM(COUNTIF(H61,{"*EDM*"})),"edm dance",IF(H61="","","")))))))</f>
        <v/>
      </c>
      <c r="T61" t="str">
        <f t="array" ref="T61">IF(SUM(COUNTIF(H61,{"*Deep*";"*Bass*";"*Slap*"})),"energetic",IF(SUM(COUNTIF(H61,{"*Lo-Fi*"})),"calm",IF(SUM(COUNTIF(H61,{"*Tech*"})),"energetic",IF(SUM(COUNTIF(H61,{"*Indie/Chill Dance*"})),"chillout",IF(SUM(COUNTIF(H61,{"*Piano*"})),"energetic",IF(SUM(COUNTIF(H61,{"*EDM*"})),"energetic",IF(H61="","","")))))))</f>
        <v/>
      </c>
      <c r="U61" t="str">
        <f t="array" ref="U61">IF(SUM(COUNTIF(H61,{"*Tech*";"*EDM*";"*Indie*";"*Deep*";"*Piano*";"*Slap*";"*Brazilian Bass*"})),"Song would perfectly fit in any dance mood playlist! Label will invest up to 5000 EUR advertising on facebook and instagram ads aswell as promoting it over label and label partners playlists, radio stations and press.",IF(SUM(COUNTIF(H61,{"*Lo-Fi*"})),"Song would perfectly fit in any Lo-Fi mood playlist! Label will invest up to 5000 EUR advertising on facebook and instagram ads aswell as promoting it over label and label partners playlists, radio stations and press.",IF(H61="","","")))</f>
        <v/>
      </c>
      <c r="V61" t="str">
        <f t="shared" si="18"/>
        <v/>
      </c>
      <c r="X61" t="str">
        <f t="shared" si="23"/>
        <v/>
      </c>
      <c r="Z61" t="str">
        <f t="array" aca="1" ref="Z61" ca="1">+IF(H61="LO-FI","",IFERROR(INDEX(INDIRECT((_xlfn.XLOOKUP(H61,map_location[Genre],map_location[location]))),RANK(INDIRECT((_xlfn.XLOOKUP(H61,map_location[Genre],map_location[min])),FALSE),INDIRECT((_xlfn.XLOOKUP(H61,map_location[Genre],map_location[rand]))),1)),""))</f>
        <v/>
      </c>
      <c r="AA61" t="str">
        <f t="array" ref="AA61">IF(SUM(COUNTIF(H61,{"*Deep*"})),"**Deep House**House**Club Music**",IF(SUM(COUNTIF(H61,{"*Lo-Fi*"})),"**Lo-Fi Pop**Lo-Fi Beats**Lo-Fi**",IF(SUM(COUNTIF(H61,{"*Tech House*"})),"**Deep House**Tech House**Dance**",IF(SUM(COUNTIF(H61,{"*Indie/Chill Dance*"})),"**Indie Dance**Indie Electronic**Dance Pop**",IF(SUM(COUNTIF(H61,{"*Piano House*"})),"**House**Electro House**Melodic House**",IF(SUM(COUNTIF(H61,{"*EDM*"})),"**EDM**Electro House**Dance Pop**",IF(H61="","","")))))))</f>
        <v/>
      </c>
      <c r="AB61" t="str">
        <f t="array" ref="AB61">IF(SUM(COUNTIF(H61,{"*Deep*";"*Bass*";"*Slap*"})),"Energetic,Happy",IF(SUM(COUNTIF(H61,{"*Lo-Fi*"})),"Romantic,Chill",IF(SUM(COUNTIF(H61,{"*Tech*"})),"Energetic,Happy",IF(SUM(COUNTIF(H61,{"*Indie/Chill Dance*"})),"Energetic,Chill",IF(SUM(COUNTIF(H61,{"*Piano*"})),"Energetic,Happy",IF(SUM(COUNTIF(H61,{"*EDM*"})),"Energetic,Happy",IF(H61="","","")))))))</f>
        <v/>
      </c>
      <c r="AC61" t="str">
        <f t="array" ref="AC61">IF(SUM(COUNTIF(H61,{"*Deep*";"*Bass*";"*Slap*"})),"None of these",IF(SUM(COUNTIF(H61,{"*Lo-Fi*"})),"Holiday,Beats",IF(SUM(COUNTIF(H61,{"*Tech*"})),"None of these",IF(SUM(COUNTIF(H61,{"*Indie/Chill Dance*"})),"None of these",IF(SUM(COUNTIF(H61,{"*Piano*"})),"None of these",IF(SUM(COUNTIF(H61,{"*EDM*"})),"None of these",IF(H61="","","")))))))</f>
        <v/>
      </c>
      <c r="AD61" t="str">
        <f t="array" ref="AD61">IF(SUM(COUNTIF(H61,{"*Deep*";"*Bass*";"*Slap*"})),"Samples,Synthesizer,Bass Guitar,Piano,Drum Kit,Electric Guitar",IF(SUM(COUNTIF(H61,{"*Lo-Fi*"})),"Samples,Synthesizer,Bass Guitar,Piano,Drum Kit,Electric Guitar",IF(SUM(COUNTIF(H61,{"*Tech*"})),"Samples,Synthesizer,Bass Guitar,Piano,Drum Kit,Electric Guitar",IF(SUM(COUNTIF(H61,{"*Indie/Chill Dance*"})),"Samples,Synthesizer,Bass Guitar,Piano,Drum Kit,Electric Guitar",IF(SUM(COUNTIF(H61,{"*Piano*"})),"Samples,Synthesizer,Bass Guitar,Piano,Drum Kit,Electric Guitar",IF(SUM(COUNTIF(H61,{"*EDM*"})),"Samples,Synthesizer,Bass Guitar,Piano,Drum Kit,Electric Guitar",IF(H61="","","")))))))</f>
        <v/>
      </c>
      <c r="AG61" t="str">
        <f t="shared" si="19"/>
        <v/>
      </c>
      <c r="AH61" t="str">
        <f t="array" aca="1" ref="AH61" ca="1">+TRIM(SUBSTITUTE(SUBSTITUTE(SUBSTITUTE(SUBSTITUTE(IFERROR(AQ61&amp;" "&amp;+_xlfn.XLOOKUP(((SUM(LEN(AP61))-SUM(LEN(SUBSTITUTE(AP61,",",""))))/LEN(",")+1)&amp;H61,#REF!&amp;#REF!,#REF!)&amp;CHAR(34)&amp;B61&amp;CHAR(34)&amp;"!"&amp;_xlfn.XLOOKUP(H61,#REF!,#REF!&amp;#REF!),""),"Second",AR61),"Third",AS61),"Forth",AT61),"Fifth",AU61&amp;" "))</f>
        <v/>
      </c>
      <c r="AJ61" t="str">
        <f t="shared" si="24"/>
        <v/>
      </c>
      <c r="AK61" t="str">
        <f t="array" ref="AK61">IF(SUM(COUNTIF(H61,{"*Deep*";"*Bass*";"*Slap*"})),"**Tiësto**Imanbek**",IF(SUM(COUNTIF(H61,{"*Lo-Fi*"})),"**L.Dre**Yasumu**",IF(SUM(COUNTIF(H61,{"*Tech*"})),"**Mau P**Gorgon City**",IF(SUM(COUNTIF(H61,{"*Indie/Chill Dance*"})),"**Felix Jaehn**Lost Frequencies**",IF(SUM(COUNTIF(H61,{"*Piano*"})),"**Avicii**Eric Prydz**",IF(SUM(COUNTIF(H61,{"*EDM*"})),"**David Guetta**Swedish House Mafia**",IF(H61="","","")))))))</f>
        <v/>
      </c>
      <c r="AP61" s="9" t="str">
        <f t="shared" si="20"/>
        <v/>
      </c>
      <c r="AQ61" s="9" t="str">
        <f ca="1">IFERROR(_xlfn.TEXTBEFORE(AP61,","),AP61)</f>
        <v/>
      </c>
      <c r="AR61" s="9" t="str">
        <f ca="1">IFERROR(TRIM(SUBSTITUTE(SUBSTITUTE(SUBSTITUTE(SUBSTITUTE(_xlfn.TEXTAFTER(AP61,",",1),AS61,""),AT61,""),AU61,""),",","")),"")</f>
        <v/>
      </c>
      <c r="AS61" s="9" t="str">
        <f ca="1">IFERROR(SUBSTITUTE(SUBSTITUTE(SUBSTITUTE(_xlfn.TEXTAFTER(AP61,",",2),AT61,""),",",""),AU61,""),"")</f>
        <v/>
      </c>
      <c r="AT61" s="9" t="str">
        <f ca="1">IFERROR(SUBSTITUTE(SUBSTITUTE(_xlfn.TEXTAFTER(AP61,",",3),AU61,""),",",""),"")</f>
        <v/>
      </c>
      <c r="AU61" s="9" t="str">
        <f ca="1">IFERROR(_xlfn.TEXTAFTER(AP61,",",4),"")</f>
        <v/>
      </c>
    </row>
    <row r="62" spans="6:70" x14ac:dyDescent="0.25">
      <c r="F62" s="3"/>
      <c r="P62" t="str">
        <f t="shared" si="15"/>
        <v/>
      </c>
      <c r="Q62" t="str">
        <f t="shared" si="16"/>
        <v/>
      </c>
      <c r="R62" t="str">
        <f t="shared" si="17"/>
        <v/>
      </c>
      <c r="S62" t="str">
        <f t="array" ref="S62">IF(SUM(COUNTIF(H62,{"*Deep*"})),"Citas:Deep House",IF(SUM(COUNTIF(H62,{"*Lo-Fi*"})),"Citas:Lo-Fi",IF(SUM(COUNTIF(H62,{"*Tech House*"})),"Citas:Tech House",IF(SUM(COUNTIF(H62,{"*Indie/Chill Dance*"})),"Citas:Indie/Chill Dance",IF(SUM(COUNTIF(H62,{"*Piano House*"})),"Citas:Piano House",IF(SUM(COUNTIF(H62,{"*EDM*"})),"edm dance",IF(H62="","","")))))))</f>
        <v/>
      </c>
      <c r="T62" t="str">
        <f t="array" ref="T62">IF(SUM(COUNTIF(H62,{"*Deep*";"*Bass*";"*Slap*"})),"energetic",IF(SUM(COUNTIF(H62,{"*Lo-Fi*"})),"calm",IF(SUM(COUNTIF(H62,{"*Tech*"})),"energetic",IF(SUM(COUNTIF(H62,{"*Indie/Chill Dance*"})),"chillout",IF(SUM(COUNTIF(H62,{"*Piano*"})),"energetic",IF(SUM(COUNTIF(H62,{"*EDM*"})),"energetic",IF(H62="","","")))))))</f>
        <v/>
      </c>
      <c r="U62" t="str">
        <f t="array" ref="U62">IF(SUM(COUNTIF(H62,{"*Tech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press.",IF(SUM(COUNTIF(H62,{"*Lo-Fi*"})),"Song would perfectly fit in any Lo-Fi mood playlist! Label will invest up to 5000 EUR advertising on facebook and instagram ads aswell as promoting it over label and label partners playlists, radio stations and press.",IF(H62="","","")))</f>
        <v/>
      </c>
      <c r="V62" t="str">
        <f t="shared" si="18"/>
        <v/>
      </c>
      <c r="X62" t="str">
        <f t="shared" si="23"/>
        <v/>
      </c>
      <c r="Z62" t="str">
        <f t="array" aca="1" ref="Z62" ca="1">+IFERROR(INDEX(INDIRECT((_xlfn.XLOOKUP(H62,map_location[Genre],map_location[location]))),RANK(INDIRECT((_xlfn.XLOOKUP(H62,map_location[Genre],map_location[MIN+1])),FALSE),INDIRECT((_xlfn.XLOOKUP(H62,map_location[Genre],map_location[rand]))),1)),"")</f>
        <v/>
      </c>
      <c r="AA62" t="str">
        <f t="array" ref="AA62">IF(SUM(COUNTIF(H62,{"*Deep*"})),"**Deep House**House**Club Music**",IF(SUM(COUNTIF(H62,{"*Lo-Fi*"})),"**Lo-Fi Pop**Lo-Fi Beats**Lo-Fi**",IF(SUM(COUNTIF(H62,{"*Tech House*"})),"**Deep House**Tech House**Dance**",IF(SUM(COUNTIF(H62,{"*Indie/Chill Dance*"})),"**Indie Dance**Indie Electronic**Dance Pop**",IF(SUM(COUNTIF(H62,{"*Piano House*"})),"**House**Electro House**Melodic House**",IF(SUM(COUNTIF(H62,{"*EDM*"})),"**EDM**Electro House**Dance Pop**",IF(H62="","","")))))))</f>
        <v/>
      </c>
      <c r="AB62" t="str">
        <f t="array" ref="AB62">IF(SUM(COUNTIF(H62,{"*Deep*";"*Bass*";"*Slap*"})),"Energetic,Happy",IF(SUM(COUNTIF(H62,{"*Lo-Fi*"})),"Romantic,Chill",IF(SUM(COUNTIF(H62,{"*Tech*"})),"Energetic,Happy",IF(SUM(COUNTIF(H62,{"*Indie/Chill Dance*"})),"Energetic,Chill",IF(SUM(COUNTIF(H62,{"*Piano*"})),"Energetic,Happy",IF(SUM(COUNTIF(H62,{"*EDM*"})),"Energetic,Happy",IF(H62="","","")))))))</f>
        <v/>
      </c>
      <c r="AC62" t="str">
        <f t="array" ref="AC62">IF(SUM(COUNTIF(H62,{"*Deep*";"*Bass*";"*Slap*"})),"None of these",IF(SUM(COUNTIF(H62,{"*Lo-Fi*"})),"Holiday,Beats",IF(SUM(COUNTIF(H62,{"*Tech*"})),"None of these",IF(SUM(COUNTIF(H62,{"*Indie/Chill Dance*"})),"None of these",IF(SUM(COUNTIF(H62,{"*Piano*"})),"None of these",IF(SUM(COUNTIF(H62,{"*EDM*"})),"None of these",IF(H62="","","")))))))</f>
        <v/>
      </c>
      <c r="AD62" t="str">
        <f t="array" ref="AD62">IF(SUM(COUNTIF(H62,{"*Deep*";"*Bass*";"*Slap*"})),"Samples,Synthesizer,Bass Guitar,Piano,Drum Kit,Electric Guitar",IF(SUM(COUNTIF(H62,{"*Lo-Fi*"})),"Samples,Synthesizer,Bass Guitar,Piano,Drum Kit,Electric Guitar",IF(SUM(COUNTIF(H62,{"*Tech*"})),"Samples,Synthesizer,Bass Guitar,Piano,Drum Kit,Electric Guitar",IF(SUM(COUNTIF(H62,{"*Indie/Chill Dance*"})),"Samples,Synthesizer,Bass Guitar,Piano,Drum Kit,Electric Guitar",IF(SUM(COUNTIF(H62,{"*Piano*"})),"Samples,Synthesizer,Bass Guitar,Piano,Drum Kit,Electric Guitar",IF(SUM(COUNTIF(H62,{"*EDM*"})),"Samples,Synthesizer,Bass Guitar,Piano,Drum Kit,Electric Guitar",IF(H62="","","")))))))</f>
        <v/>
      </c>
      <c r="AG62" t="str">
        <f t="shared" si="19"/>
        <v/>
      </c>
      <c r="AH62" t="str">
        <f t="array" aca="1" ref="AH62" ca="1">+TRIM(SUBSTITUTE(SUBSTITUTE(SUBSTITUTE(SUBSTITUTE(IFERROR(AQ62&amp;" "&amp;+_xlfn.XLOOKUP(((SUM(LEN(AP62))-SUM(LEN(SUBSTITUTE(AP62,",",""))))/LEN(",")+1)&amp;H62,#REF!&amp;#REF!,#REF!)&amp;CHAR(34)&amp;B62&amp;CHAR(34)&amp;"!"&amp;_xlfn.XLOOKUP(H62,#REF!,#REF!&amp;#REF!),""),"Second",AR62),"Third",AS62),"Forth",AT62),"Fifth",AU62&amp;" "))</f>
        <v/>
      </c>
      <c r="AJ62" t="str">
        <f t="shared" si="24"/>
        <v/>
      </c>
      <c r="AK62" t="str">
        <f t="array" ref="AK62">IF(SUM(COUNTIF(H62,{"*Deep*";"*Bass*";"*Slap*"})),"**Tiësto**Imanbek**",IF(SUM(COUNTIF(H62,{"*Lo-Fi*"})),"**L.Dre**Yasumu**",IF(SUM(COUNTIF(H62,{"*Tech*"})),"**Mau P**Gorgon City**",IF(SUM(COUNTIF(H62,{"*Indie/Chill Dance*"})),"**Felix Jaehn**Lost Frequencies**",IF(SUM(COUNTIF(H62,{"*Piano*"})),"**Avicii**Eric Prydz**",IF(SUM(COUNTIF(H62,{"*EDM*"})),"**David Guetta**Swedish House Mafia**",IF(H62="","","")))))))</f>
        <v/>
      </c>
      <c r="AP62" s="9" t="str">
        <f t="shared" si="20"/>
        <v/>
      </c>
      <c r="AQ62" s="9" t="str">
        <f ca="1">IFERROR(_xlfn.TEXTBEFORE(AP62,","),AP62)</f>
        <v/>
      </c>
      <c r="AR62" s="9" t="str">
        <f ca="1">IFERROR(TRIM(SUBSTITUTE(SUBSTITUTE(SUBSTITUTE(SUBSTITUTE(_xlfn.TEXTAFTER(AP62,",",1),AS62,""),AT62,""),AU62,""),",","")),"")</f>
        <v/>
      </c>
      <c r="AS62" s="9" t="str">
        <f ca="1">IFERROR(SUBSTITUTE(SUBSTITUTE(SUBSTITUTE(_xlfn.TEXTAFTER(AP62,",",2),AT62,""),",",""),AU62,""),"")</f>
        <v/>
      </c>
      <c r="AT62" s="9" t="str">
        <f ca="1">IFERROR(SUBSTITUTE(SUBSTITUTE(_xlfn.TEXTAFTER(AP62,",",3),AU62,""),",",""),"")</f>
        <v/>
      </c>
      <c r="AU62" s="9" t="str">
        <f ca="1">IFERROR(_xlfn.TEXTAFTER(AP62,",",4),"")</f>
        <v/>
      </c>
    </row>
    <row r="63" spans="6:70" x14ac:dyDescent="0.25">
      <c r="F63" s="3"/>
      <c r="P63" t="str">
        <f t="shared" si="15"/>
        <v/>
      </c>
      <c r="Q63" t="str">
        <f t="shared" si="16"/>
        <v/>
      </c>
      <c r="R63" t="str">
        <f t="shared" si="17"/>
        <v/>
      </c>
      <c r="S63" t="str">
        <f t="array" ref="S63">IF(SUM(COUNTIF(H63,{"*Deep*"})),"Citas:Deep House",IF(SUM(COUNTIF(H63,{"*Lo-Fi*"})),"Citas:Lo-Fi",IF(SUM(COUNTIF(H63,{"*Tech House*"})),"Citas:Tech House",IF(SUM(COUNTIF(H63,{"*Indie/Chill Dance*"})),"Citas:Indie/Chill Dance",IF(SUM(COUNTIF(H63,{"*Piano House*"})),"Citas:Piano House",IF(SUM(COUNTIF(H63,{"*EDM*"})),"edm dance",IF(H63="","","")))))))</f>
        <v/>
      </c>
      <c r="T63" t="str">
        <f t="array" ref="T63">IF(SUM(COUNTIF(H63,{"*Deep*";"*Bass*";"*Slap*"})),"energetic",IF(SUM(COUNTIF(H63,{"*Lo-Fi*"})),"calm",IF(SUM(COUNTIF(H63,{"*Tech*"})),"energetic",IF(SUM(COUNTIF(H63,{"*Indie/Chill Dance*"})),"chillout",IF(SUM(COUNTIF(H63,{"*Piano*"})),"energetic",IF(SUM(COUNTIF(H63,{"*EDM*"})),"energetic",IF(H63="","","")))))))</f>
        <v/>
      </c>
      <c r="U63" t="str">
        <f t="array" ref="U63">IF(SUM(COUNTIF(H63,{"*Tech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press.",IF(SUM(COUNTIF(H63,{"*Lo-Fi*"})),"Song would perfectly fit in any Lo-Fi mood playlist! Label will invest up to 5000 EUR advertising on facebook and instagram ads aswell as promoting it over label and label partners playlists, radio stations and press.",IF(H63="","","")))</f>
        <v/>
      </c>
      <c r="V63" t="str">
        <f t="shared" si="18"/>
        <v/>
      </c>
      <c r="X63" t="str">
        <f t="shared" si="23"/>
        <v/>
      </c>
      <c r="Z63" t="str">
        <f t="array" aca="1" ref="Z63" ca="1">+IFERROR(INDEX(INDIRECT((_xlfn.XLOOKUP(H63,map_location[Genre],map_location[location]))),RANK(INDIRECT((_xlfn.XLOOKUP(H63,map_location[Genre],map_location[MIN+2])),FALSE),INDIRECT((_xlfn.XLOOKUP(H63,map_location[Genre],map_location[rand]))),1)),"")</f>
        <v/>
      </c>
      <c r="AB63" t="str">
        <f t="array" ref="AB63">IF(SUM(COUNTIF(H63,{"*Deep*";"*Bass*";"*Slap*"})),"Energetic,Happy",IF(SUM(COUNTIF(H63,{"*Lo-Fi*"})),"Romantic,Chill",IF(SUM(COUNTIF(H63,{"*Tech*"})),"Energetic,Happy",IF(SUM(COUNTIF(H63,{"*Indie/Chill Dance*"})),"Energetic,Chill",IF(SUM(COUNTIF(H63,{"*Piano*"})),"Energetic,Happy",IF(SUM(COUNTIF(H63,{"*EDM*"})),"Energetic,Happy",IF(H63="","","")))))))</f>
        <v/>
      </c>
      <c r="AC63" t="str">
        <f t="array" ref="AC63">IF(SUM(COUNTIF(H63,{"*Deep*";"*Bass*";"*Slap*"})),"None of these",IF(SUM(COUNTIF(H63,{"*Lo-Fi*"})),"Holiday,Beats",IF(SUM(COUNTIF(H63,{"*Tech*"})),"None of these",IF(SUM(COUNTIF(H63,{"*Indie/Chill Dance*"})),"None of these",IF(SUM(COUNTIF(H63,{"*Piano*"})),"None of these",IF(SUM(COUNTIF(H63,{"*EDM*"})),"None of these",IF(H63="","","")))))))</f>
        <v/>
      </c>
      <c r="AD63" t="str">
        <f t="array" ref="AD63">IF(SUM(COUNTIF(H63,{"*Deep*";"*Bass*";"*Slap*"})),"Samples,Synthesizer,Bass Guitar,Piano,Drum Kit,Electric Guitar",IF(SUM(COUNTIF(H63,{"*Lo-Fi*"})),"Samples,Synthesizer,Bass Guitar,Piano,Drum Kit,Electric Guitar",IF(SUM(COUNTIF(H63,{"*Tech*"})),"Samples,Synthesizer,Bass Guitar,Piano,Drum Kit,Electric Guitar",IF(SUM(COUNTIF(H63,{"*Indie/Chill Dance*"})),"Samples,Synthesizer,Bass Guitar,Piano,Drum Kit,Electric Guitar",IF(SUM(COUNTIF(H63,{"*Piano*"})),"Samples,Synthesizer,Bass Guitar,Piano,Drum Kit,Electric Guitar",IF(SUM(COUNTIF(H63,{"*EDM*"})),"Samples,Synthesizer,Bass Guitar,Piano,Drum Kit,Electric Guitar",IF(H63="","","")))))))</f>
        <v/>
      </c>
      <c r="AG63" t="str">
        <f t="shared" si="19"/>
        <v/>
      </c>
      <c r="AH63" t="str">
        <f t="array" aca="1" ref="AH63" ca="1">+TRIM(SUBSTITUTE(SUBSTITUTE(SUBSTITUTE(SUBSTITUTE(IFERROR(AQ63&amp;" "&amp;+_xlfn.XLOOKUP(((SUM(LEN(AP63))-SUM(LEN(SUBSTITUTE(AP63,",",""))))/LEN(",")+1)&amp;H63,#REF!&amp;#REF!,#REF!)&amp;CHAR(34)&amp;B63&amp;CHAR(34)&amp;"!"&amp;_xlfn.XLOOKUP(H63,#REF!,#REF!&amp;#REF!),""),"Second",AR63),"Third",AS63),"Forth",AT63),"Fifth",AU63&amp;" "))</f>
        <v/>
      </c>
      <c r="AJ63" t="str">
        <f t="shared" si="24"/>
        <v/>
      </c>
      <c r="AK63" t="str">
        <f t="array" ref="AK63">IF(SUM(COUNTIF(H63,{"*Deep*";"*Bass*";"*Slap*"})),"**Tiësto**Imanbek**",IF(SUM(COUNTIF(H63,{"*Lo-Fi*"})),"**L.Dre**Yasumu**",IF(SUM(COUNTIF(H63,{"*Tech*"})),"**Mau P**Gorgon City**",IF(SUM(COUNTIF(H63,{"*Indie/Chill Dance*"})),"**Felix Jaehn**Lost Frequencies**",IF(SUM(COUNTIF(H63,{"*Piano*"})),"**Avicii**Eric Prydz**",IF(SUM(COUNTIF(H63,{"*EDM*"})),"**David Guetta**Swedish House Mafia**",IF(H63="","","")))))))</f>
        <v/>
      </c>
      <c r="AP63" s="9" t="str">
        <f t="shared" si="20"/>
        <v/>
      </c>
      <c r="AQ63" s="9" t="str">
        <f ca="1">IFERROR(_xlfn.TEXTBEFORE(AP63,","),AP63)</f>
        <v/>
      </c>
      <c r="AR63" s="9" t="str">
        <f ca="1">IFERROR(TRIM(SUBSTITUTE(SUBSTITUTE(SUBSTITUTE(SUBSTITUTE(_xlfn.TEXTAFTER(AP63,",",1),AS63,""),AT63,""),AU63,""),",","")),"")</f>
        <v/>
      </c>
      <c r="AS63" s="9" t="str">
        <f ca="1">IFERROR(SUBSTITUTE(SUBSTITUTE(SUBSTITUTE(_xlfn.TEXTAFTER(AP63,",",2),AT63,""),",",""),AU63,""),"")</f>
        <v/>
      </c>
      <c r="AT63" s="9" t="str">
        <f ca="1">IFERROR(SUBSTITUTE(SUBSTITUTE(_xlfn.TEXTAFTER(AP63,",",3),AU63,""),",",""),"")</f>
        <v/>
      </c>
      <c r="AU63" s="9" t="str">
        <f ca="1">IFERROR(_xlfn.TEXTAFTER(AP63,",",4),"")</f>
        <v/>
      </c>
    </row>
    <row r="64" spans="6:70" x14ac:dyDescent="0.25">
      <c r="F64" s="3"/>
      <c r="P64" t="str">
        <f t="shared" si="15"/>
        <v/>
      </c>
      <c r="Q64" t="str">
        <f t="shared" si="16"/>
        <v/>
      </c>
      <c r="R64" t="str">
        <f t="shared" si="17"/>
        <v/>
      </c>
      <c r="S64" t="str">
        <f t="array" ref="S64">IF(SUM(COUNTIF(H64,{"*Deep*"})),"Citas:Deep House",IF(SUM(COUNTIF(H64,{"*Lo-Fi*"})),"Citas:Lo-Fi",IF(SUM(COUNTIF(H64,{"*Tech House*"})),"Citas:Tech House",IF(SUM(COUNTIF(H64,{"*Indie/Chill Dance*"})),"Citas:Indie/Chill Dance",IF(SUM(COUNTIF(H64,{"*Piano House*"})),"Citas:Piano House",IF(SUM(COUNTIF(H64,{"*EDM*"})),"edm dance",IF(H64="","","")))))))</f>
        <v/>
      </c>
      <c r="T64" t="str">
        <f t="array" ref="T64">IF(SUM(COUNTIF(H64,{"*Deep*";"*Bass*";"*Slap*"})),"energetic",IF(SUM(COUNTIF(H64,{"*Lo-Fi*"})),"calm",IF(SUM(COUNTIF(H64,{"*Tech*"})),"energetic",IF(SUM(COUNTIF(H64,{"*Indie/Chill Dance*"})),"chillout",IF(SUM(COUNTIF(H64,{"*Piano*"})),"energetic",IF(SUM(COUNTIF(H64,{"*EDM*"})),"energetic",IF(H64="","","")))))))</f>
        <v/>
      </c>
      <c r="U64" t="str">
        <f t="array" ref="U64">IF(SUM(COUNTIF(H64,{"*Tech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press.",IF(SUM(COUNTIF(H64,{"*Lo-Fi*"})),"Song would perfectly fit in any Lo-Fi mood playlist! Label will invest up to 5000 EUR advertising on facebook and instagram ads aswell as promoting it over label and label partners playlists, radio stations and press.",IF(H64="","","")))</f>
        <v/>
      </c>
      <c r="V64" t="str">
        <f t="shared" si="18"/>
        <v/>
      </c>
      <c r="X64" t="str">
        <f t="shared" si="23"/>
        <v/>
      </c>
      <c r="AB64" t="str">
        <f t="array" ref="AB64">IF(SUM(COUNTIF(H64,{"*Deep*";"*Bass*";"*Slap*"})),"Energetic,Happy",IF(SUM(COUNTIF(H64,{"*Lo-Fi*"})),"Romantic,Chill",IF(SUM(COUNTIF(H64,{"*Tech*"})),"Energetic,Happy",IF(SUM(COUNTIF(H64,{"*Indie/Chill Dance*"})),"Energetic,Chill",IF(SUM(COUNTIF(H64,{"*Piano*"})),"Energetic,Happy",IF(SUM(COUNTIF(H64,{"*EDM*"})),"Energetic,Happy",IF(H64="","","")))))))</f>
        <v/>
      </c>
      <c r="AC64" t="str">
        <f t="array" ref="AC64">IF(SUM(COUNTIF(H64,{"*Deep*";"*Bass*";"*Slap*"})),"None of these",IF(SUM(COUNTIF(H64,{"*Lo-Fi*"})),"Holiday,Beats",IF(SUM(COUNTIF(H64,{"*Tech*"})),"None of these",IF(SUM(COUNTIF(H64,{"*Indie/Chill Dance*"})),"None of these",IF(SUM(COUNTIF(H64,{"*Piano*"})),"None of these",IF(SUM(COUNTIF(H64,{"*EDM*"})),"None of these",IF(H64="","","")))))))</f>
        <v/>
      </c>
      <c r="AD64" t="str">
        <f t="array" ref="AD64">IF(SUM(COUNTIF(H64,{"*Deep*";"*Bass*";"*Slap*"})),"Samples,Synthesizer,Bass Guitar,Piano,Drum Kit,Electric Guitar",IF(SUM(COUNTIF(H64,{"*Lo-Fi*"})),"Samples,Synthesizer,Bass Guitar,Piano,Drum Kit,Electric Guitar",IF(SUM(COUNTIF(H64,{"*Tech*"})),"Samples,Synthesizer,Bass Guitar,Piano,Drum Kit,Electric Guitar",IF(SUM(COUNTIF(H64,{"*Indie/Chill Dance*"})),"Samples,Synthesizer,Bass Guitar,Piano,Drum Kit,Electric Guitar",IF(SUM(COUNTIF(H64,{"*Piano*"})),"Samples,Synthesizer,Bass Guitar,Piano,Drum Kit,Electric Guitar",IF(SUM(COUNTIF(H64,{"*EDM*"})),"Samples,Synthesizer,Bass Guitar,Piano,Drum Kit,Electric Guitar",IF(H64="","","")))))))</f>
        <v/>
      </c>
      <c r="AG64" t="str">
        <f t="shared" si="19"/>
        <v/>
      </c>
      <c r="AH64" t="str">
        <f t="array" aca="1" ref="AH64" ca="1">+TRIM(SUBSTITUTE(SUBSTITUTE(SUBSTITUTE(SUBSTITUTE(IFERROR(AQ64&amp;" "&amp;+_xlfn.XLOOKUP(((SUM(LEN(AP64))-SUM(LEN(SUBSTITUTE(AP64,",",""))))/LEN(",")+1)&amp;H64,#REF!&amp;#REF!,#REF!)&amp;CHAR(34)&amp;B64&amp;CHAR(34)&amp;"!"&amp;_xlfn.XLOOKUP(H64,#REF!,#REF!&amp;#REF!),""),"Second",AR64),"Third",AS64),"Forth",AT64),"Fifth",AU64&amp;" "))</f>
        <v/>
      </c>
      <c r="AJ64" t="str">
        <f t="shared" si="24"/>
        <v/>
      </c>
      <c r="AK64" t="str">
        <f t="array" ref="AK64">IF(SUM(COUNTIF(H64,{"*Deep*";"*Bass*";"*Slap*"})),"**Tiësto**Imanbek**",IF(SUM(COUNTIF(H64,{"*Lo-Fi*"})),"**L.Dre**Yasumu**",IF(SUM(COUNTIF(H64,{"*Tech*"})),"**Mau P**Gorgon City**",IF(SUM(COUNTIF(H64,{"*Indie/Chill Dance*"})),"**Felix Jaehn**Lost Frequencies**",IF(SUM(COUNTIF(H64,{"*Piano*"})),"**Avicii**Eric Prydz**",IF(SUM(COUNTIF(H64,{"*EDM*"})),"**David Guetta**Swedish House Mafia**",IF(H64="","","")))))))</f>
        <v/>
      </c>
      <c r="AP64" s="9" t="str">
        <f t="shared" si="20"/>
        <v/>
      </c>
      <c r="AQ64" s="9" t="str">
        <f ca="1">IFERROR(_xlfn.TEXTBEFORE(AP64,","),AP64)</f>
        <v/>
      </c>
      <c r="AR64" s="9" t="str">
        <f ca="1">IFERROR(TRIM(SUBSTITUTE(SUBSTITUTE(SUBSTITUTE(SUBSTITUTE(_xlfn.TEXTAFTER(AP64,",",1),AS64,""),AT64,""),AU64,""),",","")),"")</f>
        <v/>
      </c>
      <c r="AS64" s="9" t="str">
        <f ca="1">IFERROR(SUBSTITUTE(SUBSTITUTE(SUBSTITUTE(_xlfn.TEXTAFTER(AP64,",",2),AT64,""),",",""),AU64,""),"")</f>
        <v/>
      </c>
      <c r="AT64" s="9" t="str">
        <f ca="1">IFERROR(SUBSTITUTE(SUBSTITUTE(_xlfn.TEXTAFTER(AP64,",",3),AU64,""),",",""),"")</f>
        <v/>
      </c>
      <c r="AU64" s="9" t="str">
        <f ca="1">IFERROR(_xlfn.TEXTAFTER(AP64,",",4),"")</f>
        <v/>
      </c>
    </row>
    <row r="65" spans="6:47" x14ac:dyDescent="0.25">
      <c r="F65" s="3"/>
      <c r="P65" t="str">
        <f t="shared" si="15"/>
        <v/>
      </c>
      <c r="Q65" t="str">
        <f t="shared" si="16"/>
        <v/>
      </c>
      <c r="R65" t="str">
        <f t="shared" si="17"/>
        <v/>
      </c>
      <c r="S65" t="str">
        <f t="array" ref="S65">IF(SUM(COUNTIF(H65,{"*Deep*"})),"Citas:Deep House",IF(SUM(COUNTIF(H65,{"*Lo-Fi*"})),"Citas:Lo-Fi",IF(SUM(COUNTIF(H65,{"*Tech House*"})),"Citas:Tech House",IF(SUM(COUNTIF(H65,{"*Indie/Chill Dance*"})),"Citas:Indie/Chill Dance",IF(SUM(COUNTIF(H65,{"*Piano House*"})),"Citas:Piano House",IF(SUM(COUNTIF(H65,{"*EDM*"})),"edm dance",IF(H65="","","")))))))</f>
        <v/>
      </c>
      <c r="T65" t="str">
        <f t="array" ref="T65">IF(SUM(COUNTIF(H65,{"*Deep*";"*Bass*";"*Slap*"})),"energetic",IF(SUM(COUNTIF(H65,{"*Lo-Fi*"})),"calm",IF(SUM(COUNTIF(H65,{"*Tech*"})),"energetic",IF(SUM(COUNTIF(H65,{"*Indie/Chill Dance*"})),"chillout",IF(SUM(COUNTIF(H65,{"*Piano*"})),"energetic",IF(SUM(COUNTIF(H65,{"*EDM*"})),"energetic",IF(H65="","","")))))))</f>
        <v/>
      </c>
      <c r="U65" t="str">
        <f t="array" ref="U65">IF(SUM(COUNTIF(H65,{"*Tech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press.",IF(SUM(COUNTIF(H65,{"*Lo-Fi*"})),"Song would perfectly fit in any Lo-Fi mood playlist! Label will invest up to 5000 EUR advertising on facebook and instagram ads aswell as promoting it over label and label partners playlists, radio stations and press.",IF(H65="","","")))</f>
        <v/>
      </c>
      <c r="V65" t="str">
        <f t="shared" si="18"/>
        <v/>
      </c>
      <c r="X65" t="str">
        <f t="shared" si="23"/>
        <v/>
      </c>
      <c r="AB65" t="str">
        <f t="array" ref="AB65">IF(SUM(COUNTIF(H65,{"*Deep*";"*Bass*";"*Slap*"})),"Energetic,Happy",IF(SUM(COUNTIF(H65,{"*Lo-Fi*"})),"Romantic,Chill",IF(SUM(COUNTIF(H65,{"*Tech*"})),"Energetic,Happy",IF(SUM(COUNTIF(H65,{"*Indie/Chill Dance*"})),"Energetic,Chill",IF(SUM(COUNTIF(H65,{"*Piano*"})),"Energetic,Happy",IF(SUM(COUNTIF(H65,{"*EDM*"})),"Energetic,Happy",IF(H65="","","")))))))</f>
        <v/>
      </c>
      <c r="AD65" t="str">
        <f t="array" ref="AD65">IF(SUM(COUNTIF(H65,{"*Deep*";"*Bass*";"*Slap*"})),"Samples,Synthesizer,Bass Guitar,Piano,Drum Kit,Electric Guitar",IF(SUM(COUNTIF(H65,{"*Lo-Fi*"})),"Samples,Synthesizer,Bass Guitar,Piano,Drum Kit,Electric Guitar",IF(SUM(COUNTIF(H65,{"*Tech*"})),"Samples,Synthesizer,Bass Guitar,Piano,Drum Kit,Electric Guitar",IF(SUM(COUNTIF(H65,{"*Indie/Chill Dance*"})),"Samples,Synthesizer,Bass Guitar,Piano,Drum Kit,Electric Guitar",IF(SUM(COUNTIF(H65,{"*Piano*"})),"Samples,Synthesizer,Bass Guitar,Piano,Drum Kit,Electric Guitar",IF(SUM(COUNTIF(H65,{"*EDM*"})),"Samples,Synthesizer,Bass Guitar,Piano,Drum Kit,Electric Guitar",IF(H65="","","")))))))</f>
        <v/>
      </c>
      <c r="AG65" t="str">
        <f t="shared" si="19"/>
        <v/>
      </c>
      <c r="AH65" t="str">
        <f t="array" aca="1" ref="AH65" ca="1">+TRIM(SUBSTITUTE(SUBSTITUTE(SUBSTITUTE(SUBSTITUTE(IFERROR(AQ65&amp;" "&amp;+_xlfn.XLOOKUP(((SUM(LEN(AP65))-SUM(LEN(SUBSTITUTE(AP65,",",""))))/LEN(",")+1)&amp;H65,#REF!&amp;#REF!,#REF!)&amp;CHAR(34)&amp;B65&amp;CHAR(34)&amp;"!"&amp;_xlfn.XLOOKUP(H65,#REF!,#REF!&amp;#REF!),""),"Second",AR65),"Third",AS65),"Forth",AT65),"Fifth",AU65&amp;" "))</f>
        <v/>
      </c>
      <c r="AJ65" t="str">
        <f t="shared" si="24"/>
        <v/>
      </c>
      <c r="AK65" t="str">
        <f t="array" ref="AK65">IF(SUM(COUNTIF(H65,{"*Deep*";"*Bass*";"*Slap*"})),"**Tiësto**Imanbek**",IF(SUM(COUNTIF(H65,{"*Lo-Fi*"})),"**L.Dre**Yasumu**",IF(SUM(COUNTIF(H65,{"*Tech*"})),"**Mau P**Gorgon City**",IF(SUM(COUNTIF(H65,{"*Indie/Chill Dance*"})),"**Felix Jaehn**Lost Frequencies**",IF(SUM(COUNTIF(H65,{"*Piano*"})),"**Avicii**Eric Prydz**",IF(SUM(COUNTIF(H65,{"*EDM*"})),"**David Guetta**Swedish House Mafia**",IF(H65="","","")))))))</f>
        <v/>
      </c>
      <c r="AP65" s="9" t="str">
        <f t="shared" si="20"/>
        <v/>
      </c>
      <c r="AQ65" s="9" t="str">
        <f ca="1">IFERROR(_xlfn.TEXTBEFORE(AP65,","),AP65)</f>
        <v/>
      </c>
      <c r="AR65" s="9" t="str">
        <f ca="1">IFERROR(TRIM(SUBSTITUTE(SUBSTITUTE(SUBSTITUTE(SUBSTITUTE(_xlfn.TEXTAFTER(AP65,",",1),AS65,""),AT65,""),AU65,""),",","")),"")</f>
        <v/>
      </c>
      <c r="AS65" s="9" t="str">
        <f ca="1">IFERROR(SUBSTITUTE(SUBSTITUTE(SUBSTITUTE(_xlfn.TEXTAFTER(AP65,",",2),AT65,""),",",""),AU65,""),"")</f>
        <v/>
      </c>
      <c r="AT65" s="9" t="str">
        <f ca="1">IFERROR(SUBSTITUTE(SUBSTITUTE(_xlfn.TEXTAFTER(AP65,",",3),AU65,""),",",""),"")</f>
        <v/>
      </c>
      <c r="AU65" s="9" t="str">
        <f ca="1">IFERROR(_xlfn.TEXTAFTER(AP65,",",4),"")</f>
        <v/>
      </c>
    </row>
    <row r="66" spans="6:47" x14ac:dyDescent="0.25">
      <c r="F66" s="3"/>
      <c r="P66" t="str">
        <f t="shared" si="15"/>
        <v/>
      </c>
      <c r="Q66" t="str">
        <f t="shared" ref="Q66:Q73" si="25">IF(M66=1,"High_Priority",IF(M66=2,"Priority",IF(M66=3,"General_Release",IF(M66=4,"General_Release",IF(M66="","")))))</f>
        <v/>
      </c>
      <c r="R66" t="str">
        <f t="shared" ref="R66:R73" si="26">IF(N66="Remix","Citas:Remix",IF(N66="Cover","Citas:Cover",IF(N66="Radio","Single",IF(N66="Radio/Extended","Single",""))))</f>
        <v/>
      </c>
      <c r="S66" t="str">
        <f t="array" ref="S66">IF(SUM(COUNTIF(H66,{"*Deep*"})),"Citas:Deep House",IF(SUM(COUNTIF(H66,{"*Lo-Fi*"})),"Citas:Lo-Fi",IF(SUM(COUNTIF(H66,{"*Tech House*"})),"Citas:Tech House",IF(SUM(COUNTIF(H66,{"*Indie/Chill Dance*"})),"Citas:Indie/Chill Dance",IF(SUM(COUNTIF(H66,{"*Piano House*"})),"Citas:Piano House",IF(SUM(COUNTIF(H66,{"*EDM*"})),"edm dance",IF(H66="","","")))))))</f>
        <v/>
      </c>
      <c r="T66" t="str">
        <f t="array" ref="T66">IF(SUM(COUNTIF(H66,{"*Deep*";"*Bass*";"*Slap*"})),"energetic",IF(SUM(COUNTIF(H66,{"*Lo-Fi*"})),"calm",IF(SUM(COUNTIF(H66,{"*Tech*"})),"energetic",IF(SUM(COUNTIF(H66,{"*Indie/Chill Dance*"})),"chillout",IF(SUM(COUNTIF(H66,{"*Piano*"})),"energetic",IF(SUM(COUNTIF(H66,{"*EDM*"})),"energetic",IF(H66="","","")))))))</f>
        <v/>
      </c>
      <c r="U66" t="str">
        <f t="array" ref="U66">IF(SUM(COUNTIF(H66,{"*Tech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press.",IF(SUM(COUNTIF(H66,{"*Lo-Fi*"})),"Song would perfectly fit in any Lo-Fi mood playlist! Label will invest up to 5000 EUR advertising on facebook and instagram ads aswell as promoting it over label and label partners playlists, radio stations and press.",IF(H66="","","")))</f>
        <v/>
      </c>
      <c r="V66" t="str">
        <f t="shared" si="18"/>
        <v/>
      </c>
      <c r="X66" t="str">
        <f t="shared" si="23"/>
        <v/>
      </c>
      <c r="AB66" t="str">
        <f t="array" ref="AB66">IF(SUM(COUNTIF(H66,{"*Deep*";"*Bass*";"*Slap*"})),"Energetic,Happy",IF(SUM(COUNTIF(H66,{"*Lo-Fi*"})),"Romantic,Chill",IF(SUM(COUNTIF(H66,{"*Tech*"})),"Energetic,Happy",IF(SUM(COUNTIF(H66,{"*Indie/Chill Dance*"})),"Energetic,Chill",IF(SUM(COUNTIF(H66,{"*Piano*"})),"Energetic,Happy",IF(SUM(COUNTIF(H66,{"*EDM*"})),"Energetic,Happy",IF(H66="","","")))))))</f>
        <v/>
      </c>
      <c r="AD66" t="str">
        <f t="array" ref="AD66">IF(SUM(COUNTIF(H66,{"*Deep*";"*Bass*";"*Slap*"})),"Samples,Synthesizer,Bass Guitar,Piano,Drum Kit,Electric Guitar",IF(SUM(COUNTIF(H66,{"*Lo-Fi*"})),"Samples,Synthesizer,Bass Guitar,Piano,Drum Kit,Electric Guitar",IF(SUM(COUNTIF(H66,{"*Tech*"})),"Samples,Synthesizer,Bass Guitar,Piano,Drum Kit,Electric Guitar",IF(SUM(COUNTIF(H66,{"*Indie/Chill Dance*"})),"Samples,Synthesizer,Bass Guitar,Piano,Drum Kit,Electric Guitar",IF(SUM(COUNTIF(H66,{"*Piano*"})),"Samples,Synthesizer,Bass Guitar,Piano,Drum Kit,Electric Guitar",IF(SUM(COUNTIF(H66,{"*EDM*"})),"Samples,Synthesizer,Bass Guitar,Piano,Drum Kit,Electric Guitar",IF(H66="","","")))))))</f>
        <v/>
      </c>
      <c r="AG66" t="str">
        <f t="shared" si="19"/>
        <v/>
      </c>
      <c r="AH66" t="str">
        <f t="array" aca="1" ref="AH66" ca="1">+TRIM(SUBSTITUTE(SUBSTITUTE(SUBSTITUTE(SUBSTITUTE(IFERROR(AQ66&amp;" "&amp;+_xlfn.XLOOKUP(((SUM(LEN(AP66))-SUM(LEN(SUBSTITUTE(AP66,",",""))))/LEN(",")+1)&amp;H66,#REF!&amp;#REF!,#REF!)&amp;CHAR(34)&amp;B66&amp;CHAR(34)&amp;"!"&amp;_xlfn.XLOOKUP(H66,#REF!,#REF!&amp;#REF!),""),"Second",AR66),"Third",AS66),"Forth",AT66),"Fifth",AU66&amp;" "))</f>
        <v/>
      </c>
      <c r="AJ66" t="str">
        <f t="shared" si="24"/>
        <v/>
      </c>
      <c r="AK66" t="str">
        <f t="array" ref="AK66">IF(SUM(COUNTIF(H66,{"*Deep*";"*Bass*";"*Slap*"})),"**Tiësto**Imanbek**",IF(SUM(COUNTIF(H66,{"*Lo-Fi*"})),"**L.Dre**Yasumu**",IF(SUM(COUNTIF(H66,{"*Tech*"})),"**Mau P**Gorgon City**",IF(SUM(COUNTIF(H66,{"*Indie/Chill Dance*"})),"**Felix Jaehn**Lost Frequencies**",IF(SUM(COUNTIF(H66,{"*Piano*"})),"**Avicii**Eric Prydz**",IF(SUM(COUNTIF(H66,{"*EDM*"})),"**David Guetta**Swedish House Mafia**",IF(H66="","","")))))))</f>
        <v/>
      </c>
      <c r="AP66" s="9" t="str">
        <f t="shared" ref="AP66:AP73" si="27">TRIM(SUBSTITUTE(SUBSTITUTE(SUBSTITUTE(A66,"&amp;",","),"feat",","),".",""))</f>
        <v/>
      </c>
      <c r="AQ66" s="9" t="str">
        <f ca="1">IFERROR(_xlfn.TEXTBEFORE(AP66,","),AP66)</f>
        <v/>
      </c>
      <c r="AR66" s="9" t="str">
        <f ca="1">IFERROR(TRIM(SUBSTITUTE(SUBSTITUTE(SUBSTITUTE(SUBSTITUTE(_xlfn.TEXTAFTER(AP66,",",1),AS66,""),AT66,""),AU66,""),",","")),"")</f>
        <v/>
      </c>
      <c r="AS66" s="9" t="str">
        <f ca="1">IFERROR(SUBSTITUTE(SUBSTITUTE(SUBSTITUTE(_xlfn.TEXTAFTER(AP66,",",2),AT66,""),",",""),AU66,""),"")</f>
        <v/>
      </c>
      <c r="AT66" s="9" t="str">
        <f ca="1">IFERROR(SUBSTITUTE(SUBSTITUTE(_xlfn.TEXTAFTER(AP66,",",3),AU66,""),",",""),"")</f>
        <v/>
      </c>
      <c r="AU66" s="9" t="str">
        <f ca="1">IFERROR(_xlfn.TEXTAFTER(AP66,",",4),"")</f>
        <v/>
      </c>
    </row>
    <row r="67" spans="6:47" x14ac:dyDescent="0.25">
      <c r="F67" s="3"/>
      <c r="P67" t="str">
        <f t="shared" si="15"/>
        <v/>
      </c>
      <c r="Q67" t="str">
        <f t="shared" si="25"/>
        <v/>
      </c>
      <c r="R67" t="str">
        <f t="shared" si="26"/>
        <v/>
      </c>
      <c r="S67" t="str">
        <f t="array" ref="S67">IF(SUM(COUNTIF(H67,{"*Deep*"})),"Citas:Deep House",IF(SUM(COUNTIF(H67,{"*Lo-Fi*"})),"Citas:Lo-Fi",IF(SUM(COUNTIF(H67,{"*Tech House*"})),"Citas:Tech House",IF(SUM(COUNTIF(H67,{"*Indie/Chill Dance*"})),"Citas:Indie/Chill Dance",IF(SUM(COUNTIF(H67,{"*Piano House*"})),"Citas:Piano House",IF(SUM(COUNTIF(H67,{"*EDM*"})),"edm dance",IF(H67="","","")))))))</f>
        <v/>
      </c>
      <c r="T67" t="str">
        <f t="array" ref="T67">IF(SUM(COUNTIF(H67,{"*Deep*";"*Bass*";"*Slap*"})),"energetic",IF(SUM(COUNTIF(H67,{"*Lo-Fi*"})),"calm",IF(SUM(COUNTIF(H67,{"*Tech*"})),"energetic",IF(SUM(COUNTIF(H67,{"*Indie/Chill Dance*"})),"chillout",IF(SUM(COUNTIF(H67,{"*Piano*"})),"energetic",IF(SUM(COUNTIF(H67,{"*EDM*"})),"energetic",IF(H67="","","")))))))</f>
        <v/>
      </c>
      <c r="U67" t="str">
        <f t="array" ref="U67">IF(SUM(COUNTIF(H67,{"*Tech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press.",IF(SUM(COUNTIF(H67,{"*Lo-Fi*"})),"Song would perfectly fit in any Lo-Fi mood playlist! Label will invest up to 5000 EUR advertising on facebook and instagram ads aswell as promoting it over label and label partners playlists, radio stations and press.",IF(H67="","","")))</f>
        <v/>
      </c>
      <c r="V67" t="str">
        <f t="shared" si="18"/>
        <v/>
      </c>
      <c r="X67" t="str">
        <f t="shared" si="23"/>
        <v/>
      </c>
      <c r="AB67" t="str">
        <f t="array" ref="AB67">IF(SUM(COUNTIF(H67,{"*Deep*";"*Bass*";"*Slap*"})),"Energetic,Happy",IF(SUM(COUNTIF(H67,{"*Lo-Fi*"})),"Romantic,Chill",IF(SUM(COUNTIF(H67,{"*Tech*"})),"Energetic,Happy",IF(SUM(COUNTIF(H67,{"*Indie/Chill Dance*"})),"Energetic,Chill",IF(SUM(COUNTIF(H67,{"*Piano*"})),"Energetic,Happy",IF(SUM(COUNTIF(H67,{"*EDM*"})),"Energetic,Happy",IF(H67="","","")))))))</f>
        <v/>
      </c>
      <c r="AD67" t="str">
        <f t="array" ref="AD67">IF(SUM(COUNTIF(H67,{"*Deep*";"*Bass*";"*Slap*"})),"Samples,Synthesizer,Bass Guitar,Piano,Drum Kit,Electric Guitar",IF(SUM(COUNTIF(H67,{"*Lo-Fi*"})),"Samples,Synthesizer,Bass Guitar,Piano,Drum Kit,Electric Guitar",IF(SUM(COUNTIF(H67,{"*Tech*"})),"Samples,Synthesizer,Bass Guitar,Piano,Drum Kit,Electric Guitar",IF(SUM(COUNTIF(H67,{"*Indie/Chill Dance*"})),"Samples,Synthesizer,Bass Guitar,Piano,Drum Kit,Electric Guitar",IF(SUM(COUNTIF(H67,{"*Piano*"})),"Samples,Synthesizer,Bass Guitar,Piano,Drum Kit,Electric Guitar",IF(SUM(COUNTIF(H67,{"*EDM*"})),"Samples,Synthesizer,Bass Guitar,Piano,Drum Kit,Electric Guitar",IF(H67="","","")))))))</f>
        <v/>
      </c>
      <c r="AH67" t="str">
        <f t="array" aca="1" ref="AH67" ca="1">+TRIM(SUBSTITUTE(SUBSTITUTE(SUBSTITUTE(SUBSTITUTE(IFERROR(AQ67&amp;" "&amp;+_xlfn.XLOOKUP(((SUM(LEN(AP67))-SUM(LEN(SUBSTITUTE(AP67,",",""))))/LEN(",")+1)&amp;H67,#REF!&amp;#REF!,#REF!)&amp;CHAR(34)&amp;B67&amp;CHAR(34)&amp;"!"&amp;_xlfn.XLOOKUP(H67,#REF!,#REF!&amp;#REF!),""),"Second",AR67),"Third",AS67),"Forth",AT67),"Fifth",AU67&amp;" "))</f>
        <v/>
      </c>
      <c r="AJ67" t="str">
        <f t="shared" si="24"/>
        <v/>
      </c>
      <c r="AK67" t="str">
        <f t="array" ref="AK67">IF(SUM(COUNTIF(H67,{"*Deep*";"*Bass*";"*Slap*"})),"**Tiësto**Imanbek**",IF(SUM(COUNTIF(H67,{"*Lo-Fi*"})),"**L.Dre**Yasumu**",IF(SUM(COUNTIF(H67,{"*Tech*"})),"**Mau P**Gorgon City**",IF(SUM(COUNTIF(H67,{"*Indie/Chill Dance*"})),"**Felix Jaehn**Lost Frequencies**",IF(SUM(COUNTIF(H67,{"*Piano*"})),"**Avicii**Eric Prydz**",IF(SUM(COUNTIF(H67,{"*EDM*"})),"**David Guetta**Swedish House Mafia**",IF(H67="","","")))))))</f>
        <v/>
      </c>
      <c r="AP67" s="9" t="str">
        <f t="shared" si="27"/>
        <v/>
      </c>
      <c r="AQ67" s="9" t="str">
        <f ca="1">IFERROR(_xlfn.TEXTBEFORE(AP67,","),AP67)</f>
        <v/>
      </c>
      <c r="AR67" s="9" t="str">
        <f ca="1">IFERROR(TRIM(SUBSTITUTE(SUBSTITUTE(SUBSTITUTE(SUBSTITUTE(_xlfn.TEXTAFTER(AP67,",",1),AS67,""),AT67,""),AU67,""),",","")),"")</f>
        <v/>
      </c>
      <c r="AS67" s="9" t="str">
        <f ca="1">IFERROR(SUBSTITUTE(SUBSTITUTE(SUBSTITUTE(_xlfn.TEXTAFTER(AP67,",",2),AT67,""),",",""),AU67,""),"")</f>
        <v/>
      </c>
      <c r="AT67" s="9" t="str">
        <f ca="1">IFERROR(SUBSTITUTE(SUBSTITUTE(_xlfn.TEXTAFTER(AP67,",",3),AU67,""),",",""),"")</f>
        <v/>
      </c>
      <c r="AU67" s="9" t="str">
        <f ca="1">IFERROR(_xlfn.TEXTAFTER(AP67,",",4),"")</f>
        <v/>
      </c>
    </row>
    <row r="68" spans="6:47" x14ac:dyDescent="0.25">
      <c r="F68" s="3"/>
      <c r="P68" t="str">
        <f t="shared" si="15"/>
        <v/>
      </c>
      <c r="Q68" t="str">
        <f t="shared" si="25"/>
        <v/>
      </c>
      <c r="R68" t="str">
        <f t="shared" si="26"/>
        <v/>
      </c>
      <c r="S68" t="str">
        <f t="array" ref="S68">IF(SUM(COUNTIF(H68,{"*Deep*"})),"Citas:Deep House",IF(SUM(COUNTIF(H68,{"*Lo-Fi*"})),"Citas:Lo-Fi",IF(SUM(COUNTIF(H68,{"*Tech House*"})),"Citas:Tech House",IF(SUM(COUNTIF(H68,{"*Indie/Chill Dance*"})),"Citas:Indie/Chill Dance",IF(SUM(COUNTIF(H68,{"*Piano House*"})),"Citas:Piano House",IF(SUM(COUNTIF(H68,{"*EDM*"})),"edm dance",IF(H68="","","")))))))</f>
        <v/>
      </c>
      <c r="T68" t="str">
        <f t="array" ref="T68">IF(SUM(COUNTIF(H68,{"*Deep*";"*Bass*";"*Slap*"})),"energetic",IF(SUM(COUNTIF(H68,{"*Lo-Fi*"})),"calm",IF(SUM(COUNTIF(H68,{"*Tech*"})),"energetic",IF(SUM(COUNTIF(H68,{"*Indie/Chill Dance*"})),"chillout",IF(SUM(COUNTIF(H68,{"*Piano*"})),"energetic",IF(SUM(COUNTIF(H68,{"*EDM*"})),"energetic",IF(H68="","","")))))))</f>
        <v/>
      </c>
      <c r="U68" t="str">
        <f t="array" ref="U68">IF(SUM(COUNTIF(H68,{"*Tech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press.",IF(SUM(COUNTIF(H68,{"*Lo-Fi*"})),"Song would perfectly fit in any Lo-Fi mood playlist! Label will invest up to 5000 EUR advertising on facebook and instagram ads aswell as promoting it over label and label partners playlists, radio stations and press.",IF(H68="","","")))</f>
        <v/>
      </c>
      <c r="V68" t="str">
        <f t="shared" si="18"/>
        <v/>
      </c>
      <c r="X68" t="str">
        <f t="shared" si="23"/>
        <v/>
      </c>
      <c r="AB68" t="str">
        <f t="array" ref="AB68">IF(SUM(COUNTIF(H68,{"*Deep*";"*Bass*";"*Slap*"})),"Energetic,Happy",IF(SUM(COUNTIF(H68,{"*Lo-Fi*"})),"Romantic,Chill",IF(SUM(COUNTIF(H68,{"*Tech*"})),"Energetic,Happy",IF(SUM(COUNTIF(H68,{"*Indie/Chill Dance*"})),"Energetic,Chill",IF(SUM(COUNTIF(H68,{"*Piano*"})),"Energetic,Happy",IF(SUM(COUNTIF(H68,{"*EDM*"})),"Energetic,Happy",IF(H68="","","")))))))</f>
        <v/>
      </c>
      <c r="AD68" t="str">
        <f t="array" ref="AD68">IF(SUM(COUNTIF(H68,{"*Deep*";"*Bass*";"*Slap*"})),"Samples,Synthesizer,Bass Guitar,Piano,Drum Kit,Electric Guitar",IF(SUM(COUNTIF(H68,{"*Lo-Fi*"})),"Samples,Synthesizer,Bass Guitar,Piano,Drum Kit,Electric Guitar",IF(SUM(COUNTIF(H68,{"*Tech*"})),"Samples,Synthesizer,Bass Guitar,Piano,Drum Kit,Electric Guitar",IF(SUM(COUNTIF(H68,{"*Indie/Chill Dance*"})),"Samples,Synthesizer,Bass Guitar,Piano,Drum Kit,Electric Guitar",IF(SUM(COUNTIF(H68,{"*Piano*"})),"Samples,Synthesizer,Bass Guitar,Piano,Drum Kit,Electric Guitar",IF(SUM(COUNTIF(H68,{"*EDM*"})),"Samples,Synthesizer,Bass Guitar,Piano,Drum Kit,Electric Guitar",IF(H68="","","")))))))</f>
        <v/>
      </c>
      <c r="AH68" t="str">
        <f t="array" aca="1" ref="AH68" ca="1">+TRIM(SUBSTITUTE(SUBSTITUTE(SUBSTITUTE(SUBSTITUTE(IFERROR(AQ68&amp;" "&amp;+_xlfn.XLOOKUP(((SUM(LEN(AP68))-SUM(LEN(SUBSTITUTE(AP68,",",""))))/LEN(",")+1)&amp;H68,#REF!&amp;#REF!,#REF!)&amp;CHAR(34)&amp;B68&amp;CHAR(34)&amp;"!"&amp;_xlfn.XLOOKUP(H68,#REF!,#REF!&amp;#REF!),""),"Second",AR68),"Third",AS68),"Forth",AT68),"Fifth",AU68&amp;" "))</f>
        <v/>
      </c>
      <c r="AJ68" t="str">
        <f t="shared" si="24"/>
        <v/>
      </c>
      <c r="AK68" t="str">
        <f t="array" ref="AK68">IF(SUM(COUNTIF(H68,{"*Deep*";"*Bass*";"*Slap*"})),"**Tiësto**Imanbek**",IF(SUM(COUNTIF(H68,{"*Lo-Fi*"})),"**L.Dre**Yasumu**",IF(SUM(COUNTIF(H68,{"*Tech*"})),"**Mau P**Gorgon City**",IF(SUM(COUNTIF(H68,{"*Indie/Chill Dance*"})),"**Felix Jaehn**Lost Frequencies**",IF(SUM(COUNTIF(H68,{"*Piano*"})),"**Avicii**Eric Prydz**",IF(SUM(COUNTIF(H68,{"*EDM*"})),"**David Guetta**Swedish House Mafia**",IF(H68="","","")))))))</f>
        <v/>
      </c>
      <c r="AP68" s="9" t="str">
        <f t="shared" si="27"/>
        <v/>
      </c>
      <c r="AQ68" s="9" t="str">
        <f ca="1">IFERROR(_xlfn.TEXTBEFORE(AP68,","),AP68)</f>
        <v/>
      </c>
      <c r="AR68" s="9" t="str">
        <f ca="1">IFERROR(TRIM(SUBSTITUTE(SUBSTITUTE(SUBSTITUTE(SUBSTITUTE(_xlfn.TEXTAFTER(AP68,",",1),AS68,""),AT68,""),AU68,""),",","")),"")</f>
        <v/>
      </c>
      <c r="AS68" s="9" t="str">
        <f ca="1">IFERROR(SUBSTITUTE(SUBSTITUTE(SUBSTITUTE(_xlfn.TEXTAFTER(AP68,",",2),AT68,""),",",""),AU68,""),"")</f>
        <v/>
      </c>
      <c r="AT68" s="9" t="str">
        <f ca="1">IFERROR(SUBSTITUTE(SUBSTITUTE(_xlfn.TEXTAFTER(AP68,",",3),AU68,""),",",""),"")</f>
        <v/>
      </c>
      <c r="AU68" s="9" t="str">
        <f ca="1">IFERROR(_xlfn.TEXTAFTER(AP68,",",4),"")</f>
        <v/>
      </c>
    </row>
    <row r="69" spans="6:47" x14ac:dyDescent="0.25">
      <c r="F69" s="3"/>
      <c r="P69" t="str">
        <f t="shared" si="15"/>
        <v/>
      </c>
      <c r="Q69" t="str">
        <f t="shared" si="25"/>
        <v/>
      </c>
      <c r="R69" t="str">
        <f t="shared" si="26"/>
        <v/>
      </c>
      <c r="S69" t="str">
        <f t="array" ref="S69">IF(SUM(COUNTIF(H69,{"*Deep*"})),"Citas:Deep House",IF(SUM(COUNTIF(H69,{"*Lo-Fi*"})),"Citas:Lo-Fi",IF(SUM(COUNTIF(H69,{"*Tech House*"})),"Citas:Tech House",IF(SUM(COUNTIF(H69,{"*Indie/Chill Dance*"})),"Citas:Indie/Chill Dance",IF(SUM(COUNTIF(H69,{"*Piano House*"})),"Citas:Piano House",IF(SUM(COUNTIF(H69,{"*EDM*"})),"edm dance",IF(H69="","","")))))))</f>
        <v/>
      </c>
      <c r="T69" t="str">
        <f t="array" ref="T69">IF(SUM(COUNTIF(H69,{"*Deep*";"*Bass*";"*Slap*"})),"energetic",IF(SUM(COUNTIF(H69,{"*Lo-Fi*"})),"calm",IF(SUM(COUNTIF(H69,{"*Tech*"})),"energetic",IF(SUM(COUNTIF(H69,{"*Indie/Chill Dance*"})),"chillout",IF(SUM(COUNTIF(H69,{"*Piano*"})),"energetic",IF(SUM(COUNTIF(H69,{"*EDM*"})),"energetic",IF(H69="","","")))))))</f>
        <v/>
      </c>
      <c r="U69" t="str">
        <f t="array" ref="U69">IF(SUM(COUNTIF(H69,{"*Tech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press.",IF(SUM(COUNTIF(H69,{"*Lo-Fi*"})),"Song would perfectly fit in any Lo-Fi mood playlist! Label will invest up to 5000 EUR advertising on facebook and instagram ads aswell as promoting it over label and label partners playlists, radio stations and press.",IF(H69="","","")))</f>
        <v/>
      </c>
      <c r="V69" t="str">
        <f t="shared" si="18"/>
        <v/>
      </c>
      <c r="X69" t="str">
        <f t="shared" si="23"/>
        <v/>
      </c>
      <c r="AD69" t="str">
        <f t="array" ref="AD69">IF(SUM(COUNTIF(H69,{"*Deep*";"*Bass*";"*Slap*"})),"Samples,Synthesizer,Bass Guitar,Piano,Drum Kit,Electric Guitar",IF(SUM(COUNTIF(H69,{"*Lo-Fi*"})),"Samples,Synthesizer,Bass Guitar,Piano,Drum Kit,Electric Guitar",IF(SUM(COUNTIF(H69,{"*Tech*"})),"Samples,Synthesizer,Bass Guitar,Piano,Drum Kit,Electric Guitar",IF(SUM(COUNTIF(H69,{"*Indie/Chill Dance*"})),"Samples,Synthesizer,Bass Guitar,Piano,Drum Kit,Electric Guitar",IF(SUM(COUNTIF(H69,{"*Piano*"})),"Samples,Synthesizer,Bass Guitar,Piano,Drum Kit,Electric Guitar",IF(SUM(COUNTIF(H69,{"*EDM*"})),"Samples,Synthesizer,Bass Guitar,Piano,Drum Kit,Electric Guitar",IF(H69="","","")))))))</f>
        <v/>
      </c>
      <c r="AH69" t="str">
        <f t="array" aca="1" ref="AH69" ca="1">+TRIM(SUBSTITUTE(SUBSTITUTE(SUBSTITUTE(SUBSTITUTE(IFERROR(AQ69&amp;" "&amp;+_xlfn.XLOOKUP(((SUM(LEN(AP69))-SUM(LEN(SUBSTITUTE(AP69,",",""))))/LEN(",")+1)&amp;H69,#REF!&amp;#REF!,#REF!)&amp;CHAR(34)&amp;B69&amp;CHAR(34)&amp;"!"&amp;_xlfn.XLOOKUP(H69,#REF!,#REF!&amp;#REF!),""),"Second",AR69),"Third",AS69),"Forth",AT69),"Fifth",AU69&amp;" "))</f>
        <v/>
      </c>
      <c r="AJ69" t="str">
        <f t="shared" si="24"/>
        <v/>
      </c>
      <c r="AK69" t="str">
        <f t="array" ref="AK69">IF(SUM(COUNTIF(H69,{"*Deep*";"*Bass*";"*Slap*"})),"**Tiësto**Imanbek**",IF(SUM(COUNTIF(H69,{"*Lo-Fi*"})),"**L.Dre**Yasumu**",IF(SUM(COUNTIF(H69,{"*Tech*"})),"**Mau P**Gorgon City**",IF(SUM(COUNTIF(H69,{"*Indie/Chill Dance*"})),"**Felix Jaehn**Lost Frequencies**",IF(SUM(COUNTIF(H69,{"*Piano*"})),"**Avicii**Eric Prydz**",IF(SUM(COUNTIF(H69,{"*EDM*"})),"**David Guetta**Swedish House Mafia**",IF(H69="","","")))))))</f>
        <v/>
      </c>
      <c r="AP69" s="9" t="str">
        <f t="shared" si="27"/>
        <v/>
      </c>
      <c r="AQ69" s="9" t="str">
        <f ca="1">IFERROR(_xlfn.TEXTBEFORE(AP69,","),AP69)</f>
        <v/>
      </c>
      <c r="AR69" s="9" t="str">
        <f ca="1">IFERROR(TRIM(SUBSTITUTE(SUBSTITUTE(SUBSTITUTE(SUBSTITUTE(_xlfn.TEXTAFTER(AP69,",",1),AS69,""),AT69,""),AU69,""),",","")),"")</f>
        <v/>
      </c>
      <c r="AS69" s="9" t="str">
        <f ca="1">IFERROR(SUBSTITUTE(SUBSTITUTE(SUBSTITUTE(_xlfn.TEXTAFTER(AP69,",",2),AT69,""),",",""),AU69,""),"")</f>
        <v/>
      </c>
      <c r="AT69" s="9" t="str">
        <f ca="1">IFERROR(SUBSTITUTE(SUBSTITUTE(_xlfn.TEXTAFTER(AP69,",",3),AU69,""),",",""),"")</f>
        <v/>
      </c>
      <c r="AU69" s="9" t="str">
        <f ca="1">IFERROR(_xlfn.TEXTAFTER(AP69,",",4),"")</f>
        <v/>
      </c>
    </row>
    <row r="70" spans="6:47" x14ac:dyDescent="0.25">
      <c r="F70" s="3"/>
      <c r="P70" t="str">
        <f t="shared" si="15"/>
        <v/>
      </c>
      <c r="Q70" t="str">
        <f t="shared" si="25"/>
        <v/>
      </c>
      <c r="R70" t="str">
        <f t="shared" si="26"/>
        <v/>
      </c>
      <c r="S70" t="str">
        <f t="array" ref="S70">IF(SUM(COUNTIF(H70,{"*Deep*"})),"Citas:Deep House",IF(SUM(COUNTIF(H70,{"*Lo-Fi*"})),"Citas:Lo-Fi",IF(SUM(COUNTIF(H70,{"*Tech House*"})),"Citas:Tech House",IF(SUM(COUNTIF(H70,{"*Indie/Chill Dance*"})),"Citas:Indie/Chill Dance",IF(SUM(COUNTIF(H70,{"*Piano House*"})),"Citas:Piano House",IF(SUM(COUNTIF(H70,{"*EDM*"})),"edm dance",IF(H70="","","")))))))</f>
        <v/>
      </c>
      <c r="T70" t="str">
        <f t="array" ref="T70">IF(SUM(COUNTIF(H70,{"*Deep*";"*Bass*";"*Slap*"})),"energetic",IF(SUM(COUNTIF(H70,{"*Lo-Fi*"})),"calm",IF(SUM(COUNTIF(H70,{"*Tech*"})),"energetic",IF(SUM(COUNTIF(H70,{"*Indie/Chill Dance*"})),"chillout",IF(SUM(COUNTIF(H70,{"*Piano*"})),"energetic",IF(SUM(COUNTIF(H70,{"*EDM*"})),"energetic",IF(H70="","","")))))))</f>
        <v/>
      </c>
      <c r="U70" t="str">
        <f t="array" ref="U70">IF(SUM(COUNTIF(H70,{"*Tech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press.",IF(SUM(COUNTIF(H70,{"*Lo-Fi*"})),"Song would perfectly fit in any Lo-Fi mood playlist! Label will invest up to 5000 EUR advertising on facebook and instagram ads aswell as promoting it over label and label partners playlists, radio stations and press.",IF(H70="","","")))</f>
        <v/>
      </c>
      <c r="V70" t="str">
        <f t="shared" si="18"/>
        <v/>
      </c>
      <c r="X70" t="str">
        <f t="shared" si="23"/>
        <v/>
      </c>
      <c r="AD70" t="str">
        <f t="array" ref="AD70">IF(SUM(COUNTIF(H70,{"*Deep*";"*Bass*";"*Slap*"})),"Samples,Synthesizer,Bass Guitar,Piano,Drum Kit,Electric Guitar",IF(SUM(COUNTIF(H70,{"*Lo-Fi*"})),"Samples,Synthesizer,Bass Guitar,Piano,Drum Kit,Electric Guitar",IF(SUM(COUNTIF(H70,{"*Tech*"})),"Samples,Synthesizer,Bass Guitar,Piano,Drum Kit,Electric Guitar",IF(SUM(COUNTIF(H70,{"*Indie/Chill Dance*"})),"Samples,Synthesizer,Bass Guitar,Piano,Drum Kit,Electric Guitar",IF(SUM(COUNTIF(H70,{"*Piano*"})),"Samples,Synthesizer,Bass Guitar,Piano,Drum Kit,Electric Guitar",IF(SUM(COUNTIF(H70,{"*EDM*"})),"Samples,Synthesizer,Bass Guitar,Piano,Drum Kit,Electric Guitar",IF(H70="","","")))))))</f>
        <v/>
      </c>
      <c r="AH70" t="str">
        <f t="array" aca="1" ref="AH70" ca="1">+TRIM(SUBSTITUTE(SUBSTITUTE(SUBSTITUTE(SUBSTITUTE(IFERROR(AQ70&amp;" "&amp;+_xlfn.XLOOKUP(((SUM(LEN(AP70))-SUM(LEN(SUBSTITUTE(AP70,",",""))))/LEN(",")+1)&amp;H70,#REF!&amp;#REF!,#REF!)&amp;CHAR(34)&amp;B70&amp;CHAR(34)&amp;"!"&amp;_xlfn.XLOOKUP(H70,#REF!,#REF!&amp;#REF!),""),"Second",AR70),"Third",AS70),"Forth",AT70),"Fifth",AU70&amp;" "))</f>
        <v/>
      </c>
      <c r="AJ70" t="str">
        <f t="shared" si="24"/>
        <v/>
      </c>
      <c r="AK70" t="str">
        <f t="array" ref="AK70">IF(SUM(COUNTIF(H70,{"*Deep*";"*Bass*";"*Slap*"})),"**Tiësto**Imanbek**",IF(SUM(COUNTIF(H70,{"*Lo-Fi*"})),"**L.Dre**Yasumu**",IF(SUM(COUNTIF(H70,{"*Tech*"})),"**Mau P**Gorgon City**",IF(SUM(COUNTIF(H70,{"*Indie/Chill Dance*"})),"**Felix Jaehn**Lost Frequencies**",IF(SUM(COUNTIF(H70,{"*Piano*"})),"**Avicii**Eric Prydz**",IF(SUM(COUNTIF(H70,{"*EDM*"})),"**David Guetta**Swedish House Mafia**",IF(H70="","","")))))))</f>
        <v/>
      </c>
      <c r="AP70" s="9" t="str">
        <f t="shared" si="27"/>
        <v/>
      </c>
      <c r="AQ70" s="9" t="str">
        <f ca="1">IFERROR(_xlfn.TEXTBEFORE(AP70,","),AP70)</f>
        <v/>
      </c>
      <c r="AR70" s="9" t="str">
        <f ca="1">IFERROR(TRIM(SUBSTITUTE(SUBSTITUTE(SUBSTITUTE(SUBSTITUTE(_xlfn.TEXTAFTER(AP70,",",1),AS70,""),AT70,""),AU70,""),",","")),"")</f>
        <v/>
      </c>
      <c r="AS70" s="9" t="str">
        <f ca="1">IFERROR(SUBSTITUTE(SUBSTITUTE(SUBSTITUTE(_xlfn.TEXTAFTER(AP70,",",2),AT70,""),",",""),AU70,""),"")</f>
        <v/>
      </c>
      <c r="AT70" s="9" t="str">
        <f ca="1">IFERROR(SUBSTITUTE(SUBSTITUTE(_xlfn.TEXTAFTER(AP70,",",3),AU70,""),",",""),"")</f>
        <v/>
      </c>
      <c r="AU70" s="9" t="str">
        <f ca="1">IFERROR(_xlfn.TEXTAFTER(AP70,",",4),"")</f>
        <v/>
      </c>
    </row>
    <row r="71" spans="6:47" x14ac:dyDescent="0.25">
      <c r="F71" s="3"/>
      <c r="P71" t="str">
        <f>IF(M71="Remix","Citas:Remix",IF(M71="Cover","Citas:Cover",IF(M71="Radio","Single",IF(M71="Radio/Extension","Single",""))))</f>
        <v/>
      </c>
      <c r="Q71" t="str">
        <f t="shared" si="25"/>
        <v/>
      </c>
      <c r="R71" t="str">
        <f t="shared" si="26"/>
        <v/>
      </c>
      <c r="S71" t="str">
        <f t="array" ref="S71">IF(SUM(COUNTIF(H71,{"*Deep*"})),"Citas:Deep House",IF(SUM(COUNTIF(H71,{"*Lo-Fi*"})),"Citas:Lo-Fi",IF(SUM(COUNTIF(H71,{"*Tech House*"})),"Citas:Tech House",IF(SUM(COUNTIF(H71,{"*Indie/Chill Dance*"})),"Citas:Indie/Chill Dance",IF(SUM(COUNTIF(H71,{"*Piano House*"})),"Citas:Piano House",IF(SUM(COUNTIF(H71,{"*EDM*"})),"edm dance",IF(H71="","","")))))))</f>
        <v/>
      </c>
      <c r="T71" t="str">
        <f t="array" ref="T71">IF(SUM(COUNTIF(H71,{"*Deep*";"*Bass*";"*Slap*"})),"energetic",IF(SUM(COUNTIF(H71,{"*Lo-Fi*"})),"calm",IF(SUM(COUNTIF(H71,{"*Tech*"})),"energetic",IF(SUM(COUNTIF(H71,{"*Indie/Chill Dance*"})),"chillout",IF(SUM(COUNTIF(H71,{"*Piano*"})),"energetic",IF(SUM(COUNTIF(H71,{"*EDM*"})),"energetic",IF(H71="","","")))))))</f>
        <v/>
      </c>
      <c r="U71" t="str">
        <f t="array" ref="U71">IF(SUM(COUNTIF(H71,{"*Tech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press.",IF(SUM(COUNTIF(H71,{"*Lo-Fi*"})),"Song would perfectly fit in any Lo-Fi mood playlist! Label will invest up to 5000 EUR advertising on facebook and instagram ads aswell as promoting it over label and label partners playlists, radio stations and press.",IF(H71="","","")))</f>
        <v/>
      </c>
      <c r="X71" t="str">
        <f t="shared" si="23"/>
        <v/>
      </c>
      <c r="AD71" t="str">
        <f t="array" ref="AD71">IF(SUM(COUNTIF(H71,{"*Deep*";"*Bass*";"*Slap*"})),"Samples,Synthesizer,Bass Guitar,Piano,Drum Kit,Electric Guitar",IF(SUM(COUNTIF(H71,{"*Lo-Fi*"})),"Samples,Synthesizer,Bass Guitar,Piano,Drum Kit,Electric Guitar",IF(SUM(COUNTIF(H71,{"*Tech*"})),"Samples,Synthesizer,Bass Guitar,Piano,Drum Kit,Electric Guitar",IF(SUM(COUNTIF(H71,{"*Indie/Chill Dance*"})),"Samples,Synthesizer,Bass Guitar,Piano,Drum Kit,Electric Guitar",IF(SUM(COUNTIF(H71,{"*Piano*"})),"Samples,Synthesizer,Bass Guitar,Piano,Drum Kit,Electric Guitar",IF(SUM(COUNTIF(H71,{"*EDM*"})),"Samples,Synthesizer,Bass Guitar,Piano,Drum Kit,Electric Guitar",IF(H71="","","")))))))</f>
        <v/>
      </c>
      <c r="AH71" t="str">
        <f t="array" aca="1" ref="AH71" ca="1">+TRIM(SUBSTITUTE(SUBSTITUTE(SUBSTITUTE(SUBSTITUTE(IFERROR(AQ71&amp;" "&amp;+_xlfn.XLOOKUP(((SUM(LEN(AP71))-SUM(LEN(SUBSTITUTE(AP71,",",""))))/LEN(",")+1)&amp;H71,#REF!&amp;#REF!,#REF!)&amp;CHAR(34)&amp;B71&amp;CHAR(34)&amp;"!"&amp;_xlfn.XLOOKUP(H71,#REF!,#REF!&amp;#REF!),""),"Second",AR71),"Third",AS71),"Forth",AT71),"Fifth",AU71&amp;" "))</f>
        <v/>
      </c>
      <c r="AJ71" t="str">
        <f t="shared" si="24"/>
        <v/>
      </c>
      <c r="AK71" t="str">
        <f t="array" ref="AK71">IF(SUM(COUNTIF(H71,{"*Deep*";"*Bass*";"*Slap*"})),"**Tiësto**Imanbek**",IF(SUM(COUNTIF(H71,{"*Lo-Fi*"})),"**L.Dre**Yasumu**",IF(SUM(COUNTIF(H71,{"*Tech*"})),"**Mau P**Gorgon City**",IF(SUM(COUNTIF(H71,{"*Indie/Chill Dance*"})),"**Felix Jaehn**Lost Frequencies**",IF(SUM(COUNTIF(H71,{"*Piano*"})),"**Avicii**Eric Prydz**",IF(SUM(COUNTIF(H71,{"*EDM*"})),"**David Guetta**Swedish House Mafia**",IF(H71="","","")))))))</f>
        <v/>
      </c>
      <c r="AP71" s="9" t="str">
        <f t="shared" si="27"/>
        <v/>
      </c>
      <c r="AQ71" s="9" t="str">
        <f ca="1">IFERROR(_xlfn.TEXTBEFORE(AP71,","),AP71)</f>
        <v/>
      </c>
      <c r="AR71" s="9" t="str">
        <f ca="1">IFERROR(TRIM(SUBSTITUTE(SUBSTITUTE(SUBSTITUTE(SUBSTITUTE(_xlfn.TEXTAFTER(AP71,",",1),AS71,""),AT71,""),AU71,""),",","")),"")</f>
        <v/>
      </c>
      <c r="AS71" s="9" t="str">
        <f ca="1">IFERROR(SUBSTITUTE(SUBSTITUTE(SUBSTITUTE(_xlfn.TEXTAFTER(AP71,",",2),AT71,""),",",""),AU71,""),"")</f>
        <v/>
      </c>
      <c r="AT71" s="9" t="str">
        <f ca="1">IFERROR(SUBSTITUTE(SUBSTITUTE(_xlfn.TEXTAFTER(AP71,",",3),AU71,""),",",""),"")</f>
        <v/>
      </c>
      <c r="AU71" s="9" t="str">
        <f ca="1">IFERROR(_xlfn.TEXTAFTER(AP71,",",4),"")</f>
        <v/>
      </c>
    </row>
    <row r="72" spans="6:47" x14ac:dyDescent="0.25">
      <c r="F72" s="3"/>
      <c r="P72" t="str">
        <f>IF(M72="Remix","Citas:Remix",IF(M72="Cover","Citas:Cover",IF(M72="Radio","Single",IF(M72="Radio/Extension","Single",""))))</f>
        <v/>
      </c>
      <c r="Q72" t="str">
        <f t="shared" si="25"/>
        <v/>
      </c>
      <c r="R72" t="str">
        <f t="shared" si="26"/>
        <v/>
      </c>
      <c r="S72" t="str">
        <f t="array" ref="S72">IF(SUM(COUNTIF(H72,{"*Deep*"})),"Citas:Deep House",IF(SUM(COUNTIF(H72,{"*Lo-Fi*"})),"Citas:Lo-Fi",IF(SUM(COUNTIF(H72,{"*Tech House*"})),"Citas:Tech House",IF(SUM(COUNTIF(H72,{"*Indie/Chill Dance*"})),"Citas:Indie/Chill Dance",IF(SUM(COUNTIF(H72,{"*Piano House*"})),"Citas:Piano House",IF(SUM(COUNTIF(H72,{"*EDM*"})),"edm dance",IF(H72="","","")))))))</f>
        <v/>
      </c>
      <c r="T72" t="str">
        <f t="array" ref="T72">IF(SUM(COUNTIF(H72,{"*Deep*";"*Bass*";"*Slap*"})),"energetic",IF(SUM(COUNTIF(H72,{"*Lo-Fi*"})),"calm",IF(SUM(COUNTIF(H72,{"*Tech*"})),"energetic",IF(SUM(COUNTIF(H72,{"*Indie/Chill Dance*"})),"chillout",IF(SUM(COUNTIF(H72,{"*Piano*"})),"energetic",IF(SUM(COUNTIF(H72,{"*EDM*"})),"energetic",IF(H72="","","")))))))</f>
        <v/>
      </c>
      <c r="U72" t="str">
        <f t="array" ref="U72">IF(SUM(COUNTIF(H72,{"*Tech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press.",IF(SUM(COUNTIF(H72,{"*Lo-Fi*"})),"Song would perfectly fit in any Lo-Fi mood playlist! Label will invest up to 5000 EUR advertising on facebook and instagram ads aswell as promoting it over label and label partners playlists, radio stations and press.",IF(H72="","","")))</f>
        <v/>
      </c>
      <c r="AD72" t="str">
        <f t="array" ref="AD72">IF(SUM(COUNTIF(H72,{"*Deep*";"*Bass*";"*Slap*"})),"Samples,Synthesizer,Bass Guitar,Piano,Drum Kit,Electric Guitar",IF(SUM(COUNTIF(H72,{"*Lo-Fi*"})),"Samples,Synthesizer,Bass Guitar,Piano,Drum Kit,Electric Guitar",IF(SUM(COUNTIF(H72,{"*Tech*"})),"Samples,Synthesizer,Bass Guitar,Piano,Drum Kit,Electric Guitar",IF(SUM(COUNTIF(H72,{"*Indie/Chill Dance*"})),"Samples,Synthesizer,Bass Guitar,Piano,Drum Kit,Electric Guitar",IF(SUM(COUNTIF(H72,{"*Piano*"})),"Samples,Synthesizer,Bass Guitar,Piano,Drum Kit,Electric Guitar",IF(SUM(COUNTIF(H72,{"*EDM*"})),"Samples,Synthesizer,Bass Guitar,Piano,Drum Kit,Electric Guitar",IF(H72="","","")))))))</f>
        <v/>
      </c>
      <c r="AH72" t="str">
        <f t="array" aca="1" ref="AH72" ca="1">+TRIM(SUBSTITUTE(SUBSTITUTE(SUBSTITUTE(SUBSTITUTE(IFERROR(AQ72&amp;" "&amp;+_xlfn.XLOOKUP(((SUM(LEN(AP72))-SUM(LEN(SUBSTITUTE(AP72,",",""))))/LEN(",")+1)&amp;H72,#REF!&amp;#REF!,#REF!)&amp;CHAR(34)&amp;B72&amp;CHAR(34)&amp;"!"&amp;_xlfn.XLOOKUP(H72,#REF!,#REF!&amp;#REF!),""),"Second",AR72),"Third",AS72),"Forth",AT72),"Fifth",AU72&amp;" "))</f>
        <v/>
      </c>
      <c r="AJ72" t="str">
        <f t="shared" si="24"/>
        <v/>
      </c>
      <c r="AK72" t="str">
        <f t="array" ref="AK72">IF(SUM(COUNTIF(H72,{"*Deep*";"*Bass*";"*Slap*"})),"**Tiësto**Imanbek**",IF(SUM(COUNTIF(H72,{"*Lo-Fi*"})),"**L.Dre**Yasumu**",IF(SUM(COUNTIF(H72,{"*Tech*"})),"**Mau P**Gorgon City**",IF(SUM(COUNTIF(H72,{"*Indie/Chill Dance*"})),"**Felix Jaehn**Lost Frequencies**",IF(SUM(COUNTIF(H72,{"*Piano*"})),"**Avicii**Eric Prydz**",IF(SUM(COUNTIF(H72,{"*EDM*"})),"**David Guetta**Swedish House Mafia**",IF(H72="","","")))))))</f>
        <v/>
      </c>
      <c r="AP72" s="9" t="str">
        <f t="shared" si="27"/>
        <v/>
      </c>
      <c r="AQ72" s="9" t="str">
        <f ca="1">IFERROR(_xlfn.TEXTBEFORE(AP72,","),AP72)</f>
        <v/>
      </c>
      <c r="AR72" s="9" t="str">
        <f ca="1">IFERROR(TRIM(SUBSTITUTE(SUBSTITUTE(SUBSTITUTE(SUBSTITUTE(_xlfn.TEXTAFTER(AP72,",",1),AS72,""),AT72,""),AU72,""),",","")),"")</f>
        <v/>
      </c>
      <c r="AS72" s="9" t="str">
        <f ca="1">IFERROR(SUBSTITUTE(SUBSTITUTE(SUBSTITUTE(_xlfn.TEXTAFTER(AP72,",",2),AT72,""),",",""),AU72,""),"")</f>
        <v/>
      </c>
      <c r="AT72" s="9" t="str">
        <f ca="1">IFERROR(SUBSTITUTE(SUBSTITUTE(_xlfn.TEXTAFTER(AP72,",",3),AU72,""),",",""),"")</f>
        <v/>
      </c>
      <c r="AU72" s="9" t="str">
        <f ca="1">IFERROR(_xlfn.TEXTAFTER(AP72,",",4),"")</f>
        <v/>
      </c>
    </row>
    <row r="73" spans="6:47" x14ac:dyDescent="0.25">
      <c r="F73" s="3"/>
      <c r="P73" t="str">
        <f>IF(M73="Remix","Citas:Remix",IF(M73="Cover","Citas:Cover",IF(M73="Radio","Single",IF(M73="Radio/Extension","Single",""))))</f>
        <v/>
      </c>
      <c r="Q73" t="str">
        <f t="shared" si="25"/>
        <v/>
      </c>
      <c r="R73" t="str">
        <f t="shared" si="26"/>
        <v/>
      </c>
      <c r="S73" t="str">
        <f t="array" ref="S73">IF(SUM(COUNTIF(H73,{"*Deep*"})),"Citas:Deep House",IF(SUM(COUNTIF(H73,{"*Lo-Fi*"})),"Citas:Lo-Fi",IF(SUM(COUNTIF(H73,{"*Tech House*"})),"Citas:Tech House",IF(SUM(COUNTIF(H73,{"*Indie/Chill Dance*"})),"Citas:Indie/Chill Dance",IF(SUM(COUNTIF(H73,{"*Piano House*"})),"Citas:Piano House",IF(SUM(COUNTIF(H73,{"*EDM*"})),"edm dance",IF(H73="","","")))))))</f>
        <v/>
      </c>
      <c r="T73" t="str">
        <f t="array" ref="T73">IF(SUM(COUNTIF(H73,{"*Deep*";"*Bass*";"*Slap*"})),"energetic",IF(SUM(COUNTIF(H73,{"*Lo-Fi*"})),"calm",IF(SUM(COUNTIF(H73,{"*Tech*"})),"energetic",IF(SUM(COUNTIF(H73,{"*Indie/Chill Dance*"})),"chillout",IF(SUM(COUNTIF(H73,{"*Piano*"})),"energetic",IF(SUM(COUNTIF(H73,{"*EDM*"})),"energetic",IF(H73="","","")))))))</f>
        <v/>
      </c>
      <c r="U73" t="str">
        <f t="array" ref="U73">IF(SUM(COUNTIF(H73,{"*Tech House*";"*EDM*";"*Indie*";"*Deep House*";"*Piano House*";"*Slap House*";"*Brazilian Bass*"})),"Song would perfectly fit in any dance mood playlist! Label will invest up to 5000 EUR advertising on facebook and instagram ads aswell as promoting it over label and label partners playlists, radio stations and press.",IF(SUM(COUNTIF(H73,{"*Lo-Fi*"})),"Song would perfectly fit in any Lo-Fi mood playlist! Label will invest up to 5000 EUR advertising on facebook and instagram ads aswell as promoting it over label and label partners playlists, radio stations and press.",IF(H73="","","")))</f>
        <v/>
      </c>
      <c r="AD73" t="str">
        <f t="array" ref="AD73">IF(SUM(COUNTIF(H73,{"*Deep*";"*Bass*";"*Slap*"})),"Samples,Synthesizer,Bass Guitar,Piano,Drum Kit,Electric Guitar",IF(SUM(COUNTIF(H73,{"*Lo-Fi*"})),"Samples,Synthesizer,Bass Guitar,Piano,Drum Kit,Electric Guitar",IF(SUM(COUNTIF(H73,{"*Tech*"})),"Samples,Synthesizer,Bass Guitar,Piano,Drum Kit,Electric Guitar",IF(SUM(COUNTIF(H73,{"*Indie/Chill Dance*"})),"Samples,Synthesizer,Bass Guitar,Piano,Drum Kit,Electric Guitar",IF(SUM(COUNTIF(H73,{"*Piano*"})),"Samples,Synthesizer,Bass Guitar,Piano,Drum Kit,Electric Guitar",IF(SUM(COUNTIF(H73,{"*EDM*"})),"Samples,Synthesizer,Bass Guitar,Piano,Drum Kit,Electric Guitar",IF(H73="","","")))))))</f>
        <v/>
      </c>
      <c r="AH73" t="str">
        <f t="array" aca="1" ref="AH73" ca="1">+TRIM(SUBSTITUTE(SUBSTITUTE(SUBSTITUTE(SUBSTITUTE(IFERROR(AQ73&amp;" "&amp;+_xlfn.XLOOKUP(((SUM(LEN(AP73))-SUM(LEN(SUBSTITUTE(AP73,",",""))))/LEN(",")+1)&amp;H73,#REF!&amp;#REF!,#REF!)&amp;CHAR(34)&amp;B73&amp;CHAR(34)&amp;"!"&amp;_xlfn.XLOOKUP(H73,#REF!,#REF!&amp;#REF!),""),"Second",AR73),"Third",AS73),"Forth",AT73),"Fifth",AU73&amp;" "))</f>
        <v/>
      </c>
      <c r="AJ73" t="str">
        <f t="shared" si="24"/>
        <v/>
      </c>
      <c r="AK73" t="str">
        <f t="array" ref="AK73">IF(SUM(COUNTIF(H73,{"*Deep*";"*Bass*";"*Slap*"})),"**Tiësto**Imanbek**",IF(SUM(COUNTIF(H73,{"*Lo-Fi*"})),"**L.Dre**Yasumu**",IF(SUM(COUNTIF(H73,{"*Tech*"})),"**Mau P**Gorgon City**",IF(SUM(COUNTIF(H73,{"*Indie/Chill Dance*"})),"**Felix Jaehn**Lost Frequencies**",IF(SUM(COUNTIF(H73,{"*Piano*"})),"**Avicii**Eric Prydz**",IF(SUM(COUNTIF(H73,{"*EDM*"})),"**David Guetta**Swedish House Mafia**",IF(H73="","","")))))))</f>
        <v/>
      </c>
      <c r="AP73" s="9" t="str">
        <f t="shared" si="27"/>
        <v/>
      </c>
      <c r="AQ73" s="9" t="str">
        <f ca="1">IFERROR(_xlfn.TEXTBEFORE(AP73,","),AP73)</f>
        <v/>
      </c>
      <c r="AR73" s="9" t="str">
        <f ca="1">IFERROR(TRIM(SUBSTITUTE(SUBSTITUTE(SUBSTITUTE(SUBSTITUTE(_xlfn.TEXTAFTER(AP73,",",1),AS73,""),AT73,""),AU73,""),",","")),"")</f>
        <v/>
      </c>
      <c r="AS73" s="9" t="str">
        <f ca="1">IFERROR(SUBSTITUTE(SUBSTITUTE(SUBSTITUTE(_xlfn.TEXTAFTER(AP73,",",2),AT73,""),",",""),AU73,""),"")</f>
        <v/>
      </c>
      <c r="AT73" s="9" t="str">
        <f ca="1">IFERROR(SUBSTITUTE(SUBSTITUTE(_xlfn.TEXTAFTER(AP73,",",3),AU73,""),",",""),"")</f>
        <v/>
      </c>
      <c r="AU73" s="9" t="str">
        <f ca="1">IFERROR(_xlfn.TEXTAFTER(AP73,",",4),"")</f>
        <v/>
      </c>
    </row>
    <row r="74" spans="6:47" x14ac:dyDescent="0.25">
      <c r="F74" s="3"/>
    </row>
    <row r="75" spans="6:47" x14ac:dyDescent="0.25">
      <c r="F75" s="3"/>
    </row>
    <row r="76" spans="6:47" x14ac:dyDescent="0.25">
      <c r="F76" s="3"/>
    </row>
    <row r="77" spans="6:47" x14ac:dyDescent="0.25">
      <c r="F77" s="3"/>
    </row>
    <row r="78" spans="6:47" x14ac:dyDescent="0.25">
      <c r="F78" s="3"/>
    </row>
    <row r="79" spans="6:47" x14ac:dyDescent="0.25">
      <c r="F79" s="3"/>
    </row>
    <row r="80" spans="6:47" x14ac:dyDescent="0.25">
      <c r="F80" s="3"/>
    </row>
    <row r="81" spans="6:6" x14ac:dyDescent="0.25">
      <c r="F81" s="3"/>
    </row>
    <row r="82" spans="6:6" x14ac:dyDescent="0.25">
      <c r="F82" s="3"/>
    </row>
    <row r="83" spans="6:6" x14ac:dyDescent="0.25">
      <c r="F83" s="3"/>
    </row>
    <row r="84" spans="6:6" x14ac:dyDescent="0.25">
      <c r="F84" s="3"/>
    </row>
    <row r="85" spans="6:6" x14ac:dyDescent="0.25">
      <c r="F85" s="3"/>
    </row>
    <row r="86" spans="6:6" x14ac:dyDescent="0.25">
      <c r="F86" s="3"/>
    </row>
    <row r="87" spans="6:6" x14ac:dyDescent="0.25">
      <c r="F87" s="3"/>
    </row>
    <row r="88" spans="6:6" x14ac:dyDescent="0.25">
      <c r="F88" s="3"/>
    </row>
    <row r="89" spans="6:6" x14ac:dyDescent="0.25">
      <c r="F89" s="3"/>
    </row>
    <row r="90" spans="6:6" x14ac:dyDescent="0.25">
      <c r="F90" s="3"/>
    </row>
    <row r="91" spans="6:6" x14ac:dyDescent="0.25">
      <c r="F91" s="3"/>
    </row>
    <row r="92" spans="6:6" x14ac:dyDescent="0.25">
      <c r="F92" s="3"/>
    </row>
  </sheetData>
  <mergeCells count="4">
    <mergeCell ref="P1:U1"/>
    <mergeCell ref="AI1:AN1"/>
    <mergeCell ref="V1:W1"/>
    <mergeCell ref="Y1:AH1"/>
  </mergeCells>
  <conditionalFormatting sqref="BA3:BA5">
    <cfRule type="duplicateValues" dxfId="31" priority="10"/>
  </conditionalFormatting>
  <conditionalFormatting sqref="BE3:BE5">
    <cfRule type="duplicateValues" dxfId="30" priority="9"/>
  </conditionalFormatting>
  <conditionalFormatting sqref="BJ3:BJ6">
    <cfRule type="duplicateValues" dxfId="29" priority="8"/>
  </conditionalFormatting>
  <conditionalFormatting sqref="BN3:BN5">
    <cfRule type="duplicateValues" dxfId="28" priority="7"/>
  </conditionalFormatting>
  <conditionalFormatting sqref="BR3:BR5">
    <cfRule type="duplicateValues" dxfId="27" priority="6"/>
  </conditionalFormatting>
  <conditionalFormatting sqref="BV3:BV5">
    <cfRule type="duplicateValues" dxfId="26" priority="5"/>
  </conditionalFormatting>
  <conditionalFormatting sqref="BH9:BH15">
    <cfRule type="duplicateValues" dxfId="25" priority="4"/>
  </conditionalFormatting>
  <conditionalFormatting sqref="BI51:BI58">
    <cfRule type="duplicateValues" dxfId="24" priority="3"/>
  </conditionalFormatting>
  <conditionalFormatting sqref="BZ3:BZ5">
    <cfRule type="duplicateValues" dxfId="23" priority="1"/>
  </conditionalFormatting>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odule1.CommandButton1_Click">
                <anchor moveWithCells="1" sizeWithCells="1">
                  <from>
                    <xdr:col>4</xdr:col>
                    <xdr:colOff>295275</xdr:colOff>
                    <xdr:row>25</xdr:row>
                    <xdr:rowOff>28575</xdr:rowOff>
                  </from>
                  <to>
                    <xdr:col>7</xdr:col>
                    <xdr:colOff>180975</xdr:colOff>
                    <xdr:row>28</xdr:row>
                    <xdr:rowOff>38100</xdr:rowOff>
                  </to>
                </anchor>
              </controlPr>
            </control>
          </mc:Choice>
        </mc:AlternateContent>
      </controls>
    </mc:Choice>
  </mc:AlternateContent>
  <tableParts count="17">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1"/>
  <sheetViews>
    <sheetView workbookViewId="0">
      <selection activeCell="C25" sqref="C25"/>
    </sheetView>
  </sheetViews>
  <sheetFormatPr defaultRowHeight="15" x14ac:dyDescent="0.25"/>
  <cols>
    <col min="1" max="1" width="11.28515625" bestFit="1" customWidth="1"/>
    <col min="2" max="2" width="16.42578125" bestFit="1" customWidth="1"/>
  </cols>
  <sheetData>
    <row r="1" spans="1:3" x14ac:dyDescent="0.25">
      <c r="A1" s="18" t="s">
        <v>162</v>
      </c>
      <c r="B1" s="18" t="s">
        <v>7</v>
      </c>
      <c r="C1" s="18" t="s">
        <v>163</v>
      </c>
    </row>
    <row r="2" spans="1:3" x14ac:dyDescent="0.25">
      <c r="A2" s="19">
        <v>1</v>
      </c>
      <c r="B2" s="19" t="s">
        <v>46</v>
      </c>
      <c r="C2" s="19"/>
    </row>
    <row r="3" spans="1:3" x14ac:dyDescent="0.25">
      <c r="A3" s="20">
        <v>2</v>
      </c>
      <c r="B3" s="20" t="s">
        <v>46</v>
      </c>
      <c r="C3" s="20"/>
    </row>
    <row r="4" spans="1:3" x14ac:dyDescent="0.25">
      <c r="A4" s="19">
        <v>3</v>
      </c>
      <c r="B4" s="19" t="s">
        <v>46</v>
      </c>
      <c r="C4" s="19"/>
    </row>
    <row r="5" spans="1:3" x14ac:dyDescent="0.25">
      <c r="A5" s="20">
        <v>4</v>
      </c>
      <c r="B5" s="20" t="s">
        <v>46</v>
      </c>
      <c r="C5" s="20"/>
    </row>
    <row r="6" spans="1:3" x14ac:dyDescent="0.25">
      <c r="A6" s="19">
        <v>5</v>
      </c>
      <c r="B6" s="19" t="s">
        <v>46</v>
      </c>
      <c r="C6" s="19"/>
    </row>
    <row r="7" spans="1:3" x14ac:dyDescent="0.25">
      <c r="A7" s="20">
        <v>1</v>
      </c>
      <c r="B7" s="21" t="s">
        <v>48</v>
      </c>
      <c r="C7" s="20"/>
    </row>
    <row r="8" spans="1:3" x14ac:dyDescent="0.25">
      <c r="A8" s="19">
        <v>2</v>
      </c>
      <c r="B8" s="22" t="s">
        <v>48</v>
      </c>
      <c r="C8" s="19"/>
    </row>
    <row r="9" spans="1:3" x14ac:dyDescent="0.25">
      <c r="A9" s="20">
        <v>3</v>
      </c>
      <c r="B9" s="21" t="s">
        <v>48</v>
      </c>
      <c r="C9" s="20"/>
    </row>
    <row r="10" spans="1:3" x14ac:dyDescent="0.25">
      <c r="A10" s="19">
        <v>4</v>
      </c>
      <c r="B10" s="22" t="s">
        <v>48</v>
      </c>
      <c r="C10" s="19"/>
    </row>
    <row r="11" spans="1:3" x14ac:dyDescent="0.25">
      <c r="A11" s="20">
        <v>5</v>
      </c>
      <c r="B11" s="21" t="s">
        <v>48</v>
      </c>
      <c r="C11" s="20"/>
    </row>
    <row r="12" spans="1:3" x14ac:dyDescent="0.25">
      <c r="A12" s="19">
        <v>1</v>
      </c>
      <c r="B12" s="22" t="s">
        <v>50</v>
      </c>
      <c r="C12" s="19"/>
    </row>
    <row r="13" spans="1:3" x14ac:dyDescent="0.25">
      <c r="A13" s="20">
        <v>2</v>
      </c>
      <c r="B13" s="21" t="s">
        <v>50</v>
      </c>
      <c r="C13" s="20"/>
    </row>
    <row r="14" spans="1:3" x14ac:dyDescent="0.25">
      <c r="A14" s="19">
        <v>3</v>
      </c>
      <c r="B14" s="22" t="s">
        <v>50</v>
      </c>
      <c r="C14" s="19"/>
    </row>
    <row r="15" spans="1:3" x14ac:dyDescent="0.25">
      <c r="A15" s="20">
        <v>4</v>
      </c>
      <c r="B15" s="21" t="s">
        <v>50</v>
      </c>
      <c r="C15" s="20"/>
    </row>
    <row r="16" spans="1:3" x14ac:dyDescent="0.25">
      <c r="A16" s="19">
        <v>5</v>
      </c>
      <c r="B16" s="22" t="s">
        <v>50</v>
      </c>
      <c r="C16" s="19"/>
    </row>
    <row r="17" spans="1:3" x14ac:dyDescent="0.25">
      <c r="A17" s="20">
        <v>1</v>
      </c>
      <c r="B17" s="20" t="s">
        <v>52</v>
      </c>
      <c r="C17" s="20"/>
    </row>
    <row r="18" spans="1:3" x14ac:dyDescent="0.25">
      <c r="A18" s="19">
        <v>2</v>
      </c>
      <c r="B18" s="19" t="s">
        <v>52</v>
      </c>
      <c r="C18" s="19"/>
    </row>
    <row r="19" spans="1:3" x14ac:dyDescent="0.25">
      <c r="A19" s="20">
        <v>3</v>
      </c>
      <c r="B19" s="20" t="s">
        <v>52</v>
      </c>
      <c r="C19" s="20"/>
    </row>
    <row r="20" spans="1:3" x14ac:dyDescent="0.25">
      <c r="A20" s="19">
        <v>4</v>
      </c>
      <c r="B20" s="19" t="s">
        <v>52</v>
      </c>
      <c r="C20" s="19"/>
    </row>
    <row r="21" spans="1:3" x14ac:dyDescent="0.25">
      <c r="A21" s="20">
        <v>5</v>
      </c>
      <c r="B21" s="20" t="s">
        <v>52</v>
      </c>
      <c r="C21" s="20"/>
    </row>
    <row r="22" spans="1:3" x14ac:dyDescent="0.25">
      <c r="A22" s="19">
        <v>1</v>
      </c>
      <c r="B22" s="19" t="s">
        <v>33</v>
      </c>
      <c r="C22" s="19" t="s">
        <v>164</v>
      </c>
    </row>
    <row r="23" spans="1:3" x14ac:dyDescent="0.25">
      <c r="A23" s="20">
        <v>2</v>
      </c>
      <c r="B23" s="20" t="s">
        <v>33</v>
      </c>
      <c r="C23" s="20" t="s">
        <v>165</v>
      </c>
    </row>
    <row r="24" spans="1:3" x14ac:dyDescent="0.25">
      <c r="A24" s="19">
        <v>3</v>
      </c>
      <c r="B24" s="19" t="s">
        <v>33</v>
      </c>
      <c r="C24" s="20" t="s">
        <v>166</v>
      </c>
    </row>
    <row r="25" spans="1:3" x14ac:dyDescent="0.25">
      <c r="A25" s="20">
        <v>4</v>
      </c>
      <c r="B25" s="20" t="s">
        <v>33</v>
      </c>
      <c r="C25" s="20" t="s">
        <v>167</v>
      </c>
    </row>
    <row r="26" spans="1:3" x14ac:dyDescent="0.25">
      <c r="A26" s="19">
        <v>5</v>
      </c>
      <c r="B26" s="19" t="s">
        <v>33</v>
      </c>
      <c r="C26" s="20" t="s">
        <v>168</v>
      </c>
    </row>
    <row r="27" spans="1:3" x14ac:dyDescent="0.25">
      <c r="A27" s="20">
        <v>1</v>
      </c>
      <c r="B27" s="21" t="s">
        <v>54</v>
      </c>
      <c r="C27" s="20"/>
    </row>
    <row r="28" spans="1:3" x14ac:dyDescent="0.25">
      <c r="A28" s="19">
        <v>2</v>
      </c>
      <c r="B28" s="22" t="s">
        <v>54</v>
      </c>
      <c r="C28" s="19"/>
    </row>
    <row r="29" spans="1:3" x14ac:dyDescent="0.25">
      <c r="A29" s="20">
        <v>3</v>
      </c>
      <c r="B29" s="21" t="s">
        <v>54</v>
      </c>
      <c r="C29" s="20"/>
    </row>
    <row r="30" spans="1:3" x14ac:dyDescent="0.25">
      <c r="A30" s="19">
        <v>4</v>
      </c>
      <c r="B30" s="22" t="s">
        <v>54</v>
      </c>
      <c r="C30" s="19"/>
    </row>
    <row r="31" spans="1:3" x14ac:dyDescent="0.25">
      <c r="A31" s="20">
        <v>5</v>
      </c>
      <c r="B31" s="21" t="s">
        <v>54</v>
      </c>
      <c r="C31" s="20"/>
    </row>
    <row r="32" spans="1:3" x14ac:dyDescent="0.25">
      <c r="A32" s="19">
        <v>1</v>
      </c>
      <c r="B32" s="22" t="s">
        <v>56</v>
      </c>
      <c r="C32" s="19"/>
    </row>
    <row r="33" spans="1:3" x14ac:dyDescent="0.25">
      <c r="A33" s="20">
        <v>2</v>
      </c>
      <c r="B33" s="21" t="s">
        <v>56</v>
      </c>
      <c r="C33" s="20"/>
    </row>
    <row r="34" spans="1:3" x14ac:dyDescent="0.25">
      <c r="A34" s="19">
        <v>3</v>
      </c>
      <c r="B34" s="22" t="s">
        <v>56</v>
      </c>
      <c r="C34" s="19"/>
    </row>
    <row r="35" spans="1:3" x14ac:dyDescent="0.25">
      <c r="A35" s="20">
        <v>4</v>
      </c>
      <c r="B35" s="21" t="s">
        <v>56</v>
      </c>
      <c r="C35" s="20"/>
    </row>
    <row r="36" spans="1:3" x14ac:dyDescent="0.25">
      <c r="A36" s="23">
        <v>5</v>
      </c>
      <c r="B36" s="24" t="s">
        <v>56</v>
      </c>
      <c r="C36" s="19"/>
    </row>
    <row r="37" spans="1:3" x14ac:dyDescent="0.25">
      <c r="A37" s="25">
        <v>1</v>
      </c>
      <c r="B37" s="26" t="s">
        <v>57</v>
      </c>
      <c r="C37" s="20"/>
    </row>
    <row r="38" spans="1:3" x14ac:dyDescent="0.25">
      <c r="A38" s="19">
        <v>2</v>
      </c>
      <c r="B38" s="24" t="s">
        <v>57</v>
      </c>
      <c r="C38" s="19"/>
    </row>
    <row r="39" spans="1:3" x14ac:dyDescent="0.25">
      <c r="A39" s="20">
        <v>3</v>
      </c>
      <c r="B39" s="26" t="s">
        <v>57</v>
      </c>
      <c r="C39" s="20"/>
    </row>
    <row r="40" spans="1:3" x14ac:dyDescent="0.25">
      <c r="A40" s="19">
        <v>4</v>
      </c>
      <c r="B40" s="24" t="s">
        <v>57</v>
      </c>
      <c r="C40" s="19"/>
    </row>
    <row r="41" spans="1:3" x14ac:dyDescent="0.25">
      <c r="A41" s="20">
        <v>5</v>
      </c>
      <c r="B41" s="21" t="s">
        <v>57</v>
      </c>
      <c r="C41"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41"/>
  <sheetViews>
    <sheetView workbookViewId="0">
      <selection activeCell="C25" sqref="C25"/>
    </sheetView>
  </sheetViews>
  <sheetFormatPr defaultRowHeight="15" x14ac:dyDescent="0.25"/>
  <cols>
    <col min="1" max="1" width="11.28515625" bestFit="1" customWidth="1"/>
    <col min="2" max="2" width="16.42578125" bestFit="1" customWidth="1"/>
  </cols>
  <sheetData>
    <row r="1" spans="1:3" x14ac:dyDescent="0.25">
      <c r="A1" s="18" t="s">
        <v>162</v>
      </c>
      <c r="B1" s="18" t="s">
        <v>7</v>
      </c>
      <c r="C1" s="18" t="s">
        <v>163</v>
      </c>
    </row>
    <row r="2" spans="1:3" x14ac:dyDescent="0.25">
      <c r="A2" s="19">
        <v>1</v>
      </c>
      <c r="B2" s="19" t="s">
        <v>46</v>
      </c>
      <c r="C2" s="19"/>
    </row>
    <row r="3" spans="1:3" x14ac:dyDescent="0.25">
      <c r="A3" s="20">
        <v>2</v>
      </c>
      <c r="B3" s="20" t="s">
        <v>46</v>
      </c>
      <c r="C3" s="20"/>
    </row>
    <row r="4" spans="1:3" x14ac:dyDescent="0.25">
      <c r="A4" s="19">
        <v>3</v>
      </c>
      <c r="B4" s="19" t="s">
        <v>46</v>
      </c>
      <c r="C4" s="19"/>
    </row>
    <row r="5" spans="1:3" x14ac:dyDescent="0.25">
      <c r="A5" s="20">
        <v>4</v>
      </c>
      <c r="B5" s="20" t="s">
        <v>46</v>
      </c>
      <c r="C5" s="20"/>
    </row>
    <row r="6" spans="1:3" x14ac:dyDescent="0.25">
      <c r="A6" s="19">
        <v>5</v>
      </c>
      <c r="B6" s="19" t="s">
        <v>46</v>
      </c>
      <c r="C6" s="19"/>
    </row>
    <row r="7" spans="1:3" x14ac:dyDescent="0.25">
      <c r="A7" s="20">
        <v>1</v>
      </c>
      <c r="B7" s="21" t="s">
        <v>48</v>
      </c>
      <c r="C7" s="20"/>
    </row>
    <row r="8" spans="1:3" x14ac:dyDescent="0.25">
      <c r="A8" s="19">
        <v>2</v>
      </c>
      <c r="B8" s="22" t="s">
        <v>48</v>
      </c>
      <c r="C8" s="19"/>
    </row>
    <row r="9" spans="1:3" x14ac:dyDescent="0.25">
      <c r="A9" s="20">
        <v>3</v>
      </c>
      <c r="B9" s="21" t="s">
        <v>48</v>
      </c>
      <c r="C9" s="20"/>
    </row>
    <row r="10" spans="1:3" x14ac:dyDescent="0.25">
      <c r="A10" s="19">
        <v>4</v>
      </c>
      <c r="B10" s="22" t="s">
        <v>48</v>
      </c>
      <c r="C10" s="19"/>
    </row>
    <row r="11" spans="1:3" x14ac:dyDescent="0.25">
      <c r="A11" s="20">
        <v>5</v>
      </c>
      <c r="B11" s="21" t="s">
        <v>48</v>
      </c>
      <c r="C11" s="20"/>
    </row>
    <row r="12" spans="1:3" x14ac:dyDescent="0.25">
      <c r="A12" s="19">
        <v>1</v>
      </c>
      <c r="B12" s="22" t="s">
        <v>50</v>
      </c>
      <c r="C12" s="19"/>
    </row>
    <row r="13" spans="1:3" x14ac:dyDescent="0.25">
      <c r="A13" s="20">
        <v>2</v>
      </c>
      <c r="B13" s="21" t="s">
        <v>50</v>
      </c>
      <c r="C13" s="20"/>
    </row>
    <row r="14" spans="1:3" x14ac:dyDescent="0.25">
      <c r="A14" s="19">
        <v>3</v>
      </c>
      <c r="B14" s="22" t="s">
        <v>50</v>
      </c>
      <c r="C14" s="19"/>
    </row>
    <row r="15" spans="1:3" x14ac:dyDescent="0.25">
      <c r="A15" s="20">
        <v>4</v>
      </c>
      <c r="B15" s="21" t="s">
        <v>50</v>
      </c>
      <c r="C15" s="20"/>
    </row>
    <row r="16" spans="1:3" x14ac:dyDescent="0.25">
      <c r="A16" s="19">
        <v>5</v>
      </c>
      <c r="B16" s="22" t="s">
        <v>50</v>
      </c>
      <c r="C16" s="19"/>
    </row>
    <row r="17" spans="1:3" x14ac:dyDescent="0.25">
      <c r="A17" s="20">
        <v>1</v>
      </c>
      <c r="B17" s="20" t="s">
        <v>52</v>
      </c>
      <c r="C17" s="20"/>
    </row>
    <row r="18" spans="1:3" x14ac:dyDescent="0.25">
      <c r="A18" s="19">
        <v>2</v>
      </c>
      <c r="B18" s="19" t="s">
        <v>52</v>
      </c>
      <c r="C18" s="19"/>
    </row>
    <row r="19" spans="1:3" x14ac:dyDescent="0.25">
      <c r="A19" s="20">
        <v>3</v>
      </c>
      <c r="B19" s="20" t="s">
        <v>52</v>
      </c>
      <c r="C19" s="20"/>
    </row>
    <row r="20" spans="1:3" x14ac:dyDescent="0.25">
      <c r="A20" s="19">
        <v>4</v>
      </c>
      <c r="B20" s="19" t="s">
        <v>52</v>
      </c>
      <c r="C20" s="19"/>
    </row>
    <row r="21" spans="1:3" x14ac:dyDescent="0.25">
      <c r="A21" s="20">
        <v>5</v>
      </c>
      <c r="B21" s="20" t="s">
        <v>52</v>
      </c>
      <c r="C21" s="20"/>
    </row>
    <row r="22" spans="1:3" x14ac:dyDescent="0.25">
      <c r="A22" s="19">
        <v>1</v>
      </c>
      <c r="B22" s="19" t="s">
        <v>33</v>
      </c>
      <c r="C22" s="19" t="s">
        <v>169</v>
      </c>
    </row>
    <row r="23" spans="1:3" x14ac:dyDescent="0.25">
      <c r="A23" s="20">
        <v>2</v>
      </c>
      <c r="B23" s="20" t="s">
        <v>33</v>
      </c>
      <c r="C23" s="20" t="s">
        <v>170</v>
      </c>
    </row>
    <row r="24" spans="1:3" x14ac:dyDescent="0.25">
      <c r="A24" s="19">
        <v>3</v>
      </c>
      <c r="B24" s="19" t="s">
        <v>33</v>
      </c>
      <c r="C24" s="19" t="s">
        <v>171</v>
      </c>
    </row>
    <row r="25" spans="1:3" x14ac:dyDescent="0.25">
      <c r="A25" s="20">
        <v>4</v>
      </c>
      <c r="B25" s="20" t="s">
        <v>33</v>
      </c>
      <c r="C25" s="20" t="s">
        <v>172</v>
      </c>
    </row>
    <row r="26" spans="1:3" x14ac:dyDescent="0.25">
      <c r="A26" s="19">
        <v>5</v>
      </c>
      <c r="B26" s="19" t="s">
        <v>33</v>
      </c>
      <c r="C26" s="19" t="s">
        <v>173</v>
      </c>
    </row>
    <row r="27" spans="1:3" x14ac:dyDescent="0.25">
      <c r="A27" s="20">
        <v>1</v>
      </c>
      <c r="B27" s="21" t="s">
        <v>54</v>
      </c>
      <c r="C27" s="20"/>
    </row>
    <row r="28" spans="1:3" x14ac:dyDescent="0.25">
      <c r="A28" s="19">
        <v>2</v>
      </c>
      <c r="B28" s="22" t="s">
        <v>54</v>
      </c>
      <c r="C28" s="19"/>
    </row>
    <row r="29" spans="1:3" x14ac:dyDescent="0.25">
      <c r="A29" s="20">
        <v>3</v>
      </c>
      <c r="B29" s="21" t="s">
        <v>54</v>
      </c>
      <c r="C29" s="20"/>
    </row>
    <row r="30" spans="1:3" x14ac:dyDescent="0.25">
      <c r="A30" s="19">
        <v>4</v>
      </c>
      <c r="B30" s="22" t="s">
        <v>54</v>
      </c>
      <c r="C30" s="19"/>
    </row>
    <row r="31" spans="1:3" x14ac:dyDescent="0.25">
      <c r="A31" s="20">
        <v>5</v>
      </c>
      <c r="B31" s="21" t="s">
        <v>54</v>
      </c>
      <c r="C31" s="20"/>
    </row>
    <row r="32" spans="1:3" x14ac:dyDescent="0.25">
      <c r="A32" s="19">
        <v>1</v>
      </c>
      <c r="B32" s="22" t="s">
        <v>56</v>
      </c>
      <c r="C32" s="19"/>
    </row>
    <row r="33" spans="1:3" x14ac:dyDescent="0.25">
      <c r="A33" s="20">
        <v>2</v>
      </c>
      <c r="B33" s="21" t="s">
        <v>56</v>
      </c>
      <c r="C33" s="20"/>
    </row>
    <row r="34" spans="1:3" x14ac:dyDescent="0.25">
      <c r="A34" s="19">
        <v>3</v>
      </c>
      <c r="B34" s="22" t="s">
        <v>56</v>
      </c>
      <c r="C34" s="19"/>
    </row>
    <row r="35" spans="1:3" x14ac:dyDescent="0.25">
      <c r="A35" s="20">
        <v>4</v>
      </c>
      <c r="B35" s="21" t="s">
        <v>56</v>
      </c>
      <c r="C35" s="20"/>
    </row>
    <row r="36" spans="1:3" x14ac:dyDescent="0.25">
      <c r="A36" s="23">
        <v>5</v>
      </c>
      <c r="B36" s="24" t="s">
        <v>56</v>
      </c>
      <c r="C36" s="19"/>
    </row>
    <row r="37" spans="1:3" x14ac:dyDescent="0.25">
      <c r="A37" s="25">
        <v>1</v>
      </c>
      <c r="B37" s="26" t="s">
        <v>57</v>
      </c>
      <c r="C37" s="20"/>
    </row>
    <row r="38" spans="1:3" x14ac:dyDescent="0.25">
      <c r="A38" s="19">
        <v>2</v>
      </c>
      <c r="B38" s="24" t="s">
        <v>57</v>
      </c>
      <c r="C38" s="19"/>
    </row>
    <row r="39" spans="1:3" x14ac:dyDescent="0.25">
      <c r="A39" s="20">
        <v>3</v>
      </c>
      <c r="B39" s="26" t="s">
        <v>57</v>
      </c>
      <c r="C39" s="20"/>
    </row>
    <row r="40" spans="1:3" x14ac:dyDescent="0.25">
      <c r="A40" s="19">
        <v>4</v>
      </c>
      <c r="B40" s="24" t="s">
        <v>57</v>
      </c>
      <c r="C40" s="19"/>
    </row>
    <row r="41" spans="1:3" x14ac:dyDescent="0.25">
      <c r="A41" s="20">
        <v>5</v>
      </c>
      <c r="B41" s="21" t="s">
        <v>57</v>
      </c>
      <c r="C41" s="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1"/>
  <sheetViews>
    <sheetView workbookViewId="0">
      <selection activeCell="C25" sqref="C25"/>
    </sheetView>
  </sheetViews>
  <sheetFormatPr defaultRowHeight="15" x14ac:dyDescent="0.25"/>
  <cols>
    <col min="1" max="1" width="11.28515625" bestFit="1" customWidth="1"/>
    <col min="2" max="2" width="16.42578125" bestFit="1" customWidth="1"/>
  </cols>
  <sheetData>
    <row r="1" spans="1:3" x14ac:dyDescent="0.25">
      <c r="A1" s="18" t="s">
        <v>162</v>
      </c>
      <c r="B1" s="18" t="s">
        <v>7</v>
      </c>
      <c r="C1" s="18" t="s">
        <v>163</v>
      </c>
    </row>
    <row r="2" spans="1:3" x14ac:dyDescent="0.25">
      <c r="A2" s="19">
        <v>1</v>
      </c>
      <c r="B2" s="19" t="s">
        <v>46</v>
      </c>
      <c r="C2" s="19"/>
    </row>
    <row r="3" spans="1:3" x14ac:dyDescent="0.25">
      <c r="A3" s="20">
        <v>2</v>
      </c>
      <c r="B3" s="20" t="s">
        <v>46</v>
      </c>
      <c r="C3" s="20"/>
    </row>
    <row r="4" spans="1:3" x14ac:dyDescent="0.25">
      <c r="A4" s="19">
        <v>3</v>
      </c>
      <c r="B4" s="19" t="s">
        <v>46</v>
      </c>
      <c r="C4" s="19"/>
    </row>
    <row r="5" spans="1:3" x14ac:dyDescent="0.25">
      <c r="A5" s="20">
        <v>4</v>
      </c>
      <c r="B5" s="20" t="s">
        <v>46</v>
      </c>
      <c r="C5" s="20"/>
    </row>
    <row r="6" spans="1:3" x14ac:dyDescent="0.25">
      <c r="A6" s="19">
        <v>5</v>
      </c>
      <c r="B6" s="19" t="s">
        <v>46</v>
      </c>
      <c r="C6" s="19"/>
    </row>
    <row r="7" spans="1:3" x14ac:dyDescent="0.25">
      <c r="A7" s="20">
        <v>1</v>
      </c>
      <c r="B7" s="21" t="s">
        <v>48</v>
      </c>
      <c r="C7" s="20"/>
    </row>
    <row r="8" spans="1:3" x14ac:dyDescent="0.25">
      <c r="A8" s="19">
        <v>2</v>
      </c>
      <c r="B8" s="22" t="s">
        <v>48</v>
      </c>
      <c r="C8" s="19"/>
    </row>
    <row r="9" spans="1:3" x14ac:dyDescent="0.25">
      <c r="A9" s="20">
        <v>3</v>
      </c>
      <c r="B9" s="21" t="s">
        <v>48</v>
      </c>
      <c r="C9" s="20"/>
    </row>
    <row r="10" spans="1:3" x14ac:dyDescent="0.25">
      <c r="A10" s="19">
        <v>4</v>
      </c>
      <c r="B10" s="22" t="s">
        <v>48</v>
      </c>
      <c r="C10" s="19"/>
    </row>
    <row r="11" spans="1:3" x14ac:dyDescent="0.25">
      <c r="A11" s="20">
        <v>5</v>
      </c>
      <c r="B11" s="21" t="s">
        <v>48</v>
      </c>
      <c r="C11" s="20"/>
    </row>
    <row r="12" spans="1:3" x14ac:dyDescent="0.25">
      <c r="A12" s="19">
        <v>1</v>
      </c>
      <c r="B12" s="22" t="s">
        <v>50</v>
      </c>
      <c r="C12" s="19"/>
    </row>
    <row r="13" spans="1:3" x14ac:dyDescent="0.25">
      <c r="A13" s="20">
        <v>2</v>
      </c>
      <c r="B13" s="21" t="s">
        <v>50</v>
      </c>
      <c r="C13" s="20"/>
    </row>
    <row r="14" spans="1:3" x14ac:dyDescent="0.25">
      <c r="A14" s="19">
        <v>3</v>
      </c>
      <c r="B14" s="22" t="s">
        <v>50</v>
      </c>
      <c r="C14" s="19"/>
    </row>
    <row r="15" spans="1:3" x14ac:dyDescent="0.25">
      <c r="A15" s="20">
        <v>4</v>
      </c>
      <c r="B15" s="21" t="s">
        <v>50</v>
      </c>
      <c r="C15" s="20"/>
    </row>
    <row r="16" spans="1:3" x14ac:dyDescent="0.25">
      <c r="A16" s="19">
        <v>5</v>
      </c>
      <c r="B16" s="22" t="s">
        <v>50</v>
      </c>
      <c r="C16" s="19"/>
    </row>
    <row r="17" spans="1:3" x14ac:dyDescent="0.25">
      <c r="A17" s="20">
        <v>1</v>
      </c>
      <c r="B17" s="20" t="s">
        <v>52</v>
      </c>
      <c r="C17" s="20"/>
    </row>
    <row r="18" spans="1:3" x14ac:dyDescent="0.25">
      <c r="A18" s="19">
        <v>2</v>
      </c>
      <c r="B18" s="19" t="s">
        <v>52</v>
      </c>
      <c r="C18" s="19"/>
    </row>
    <row r="19" spans="1:3" x14ac:dyDescent="0.25">
      <c r="A19" s="20">
        <v>3</v>
      </c>
      <c r="B19" s="20" t="s">
        <v>52</v>
      </c>
      <c r="C19" s="20"/>
    </row>
    <row r="20" spans="1:3" x14ac:dyDescent="0.25">
      <c r="A20" s="19">
        <v>4</v>
      </c>
      <c r="B20" s="19" t="s">
        <v>52</v>
      </c>
      <c r="C20" s="19"/>
    </row>
    <row r="21" spans="1:3" x14ac:dyDescent="0.25">
      <c r="A21" s="20">
        <v>5</v>
      </c>
      <c r="B21" s="20" t="s">
        <v>52</v>
      </c>
      <c r="C21" s="20"/>
    </row>
    <row r="22" spans="1:3" x14ac:dyDescent="0.25">
      <c r="A22" s="19">
        <v>1</v>
      </c>
      <c r="B22" s="19" t="s">
        <v>33</v>
      </c>
      <c r="C22" s="19" t="s">
        <v>174</v>
      </c>
    </row>
    <row r="23" spans="1:3" x14ac:dyDescent="0.25">
      <c r="A23" s="20">
        <v>2</v>
      </c>
      <c r="B23" s="20" t="s">
        <v>33</v>
      </c>
      <c r="C23" s="19" t="s">
        <v>174</v>
      </c>
    </row>
    <row r="24" spans="1:3" x14ac:dyDescent="0.25">
      <c r="A24" s="19">
        <v>3</v>
      </c>
      <c r="B24" s="19" t="s">
        <v>33</v>
      </c>
      <c r="C24" s="19" t="s">
        <v>174</v>
      </c>
    </row>
    <row r="25" spans="1:3" x14ac:dyDescent="0.25">
      <c r="A25" s="20">
        <v>4</v>
      </c>
      <c r="B25" s="20" t="s">
        <v>33</v>
      </c>
      <c r="C25" s="19" t="s">
        <v>174</v>
      </c>
    </row>
    <row r="26" spans="1:3" x14ac:dyDescent="0.25">
      <c r="A26" s="19">
        <v>5</v>
      </c>
      <c r="B26" s="19" t="s">
        <v>33</v>
      </c>
      <c r="C26" s="19" t="s">
        <v>174</v>
      </c>
    </row>
    <row r="27" spans="1:3" x14ac:dyDescent="0.25">
      <c r="A27" s="20">
        <v>1</v>
      </c>
      <c r="B27" s="21" t="s">
        <v>54</v>
      </c>
      <c r="C27" s="20"/>
    </row>
    <row r="28" spans="1:3" x14ac:dyDescent="0.25">
      <c r="A28" s="19">
        <v>2</v>
      </c>
      <c r="B28" s="22" t="s">
        <v>54</v>
      </c>
      <c r="C28" s="19"/>
    </row>
    <row r="29" spans="1:3" x14ac:dyDescent="0.25">
      <c r="A29" s="20">
        <v>3</v>
      </c>
      <c r="B29" s="21" t="s">
        <v>54</v>
      </c>
      <c r="C29" s="20"/>
    </row>
    <row r="30" spans="1:3" x14ac:dyDescent="0.25">
      <c r="A30" s="19">
        <v>4</v>
      </c>
      <c r="B30" s="22" t="s">
        <v>54</v>
      </c>
      <c r="C30" s="19"/>
    </row>
    <row r="31" spans="1:3" x14ac:dyDescent="0.25">
      <c r="A31" s="20">
        <v>5</v>
      </c>
      <c r="B31" s="21" t="s">
        <v>54</v>
      </c>
      <c r="C31" s="20"/>
    </row>
    <row r="32" spans="1:3" x14ac:dyDescent="0.25">
      <c r="A32" s="19">
        <v>1</v>
      </c>
      <c r="B32" s="22" t="s">
        <v>56</v>
      </c>
      <c r="C32" s="19"/>
    </row>
    <row r="33" spans="1:3" x14ac:dyDescent="0.25">
      <c r="A33" s="20">
        <v>2</v>
      </c>
      <c r="B33" s="21" t="s">
        <v>56</v>
      </c>
      <c r="C33" s="20"/>
    </row>
    <row r="34" spans="1:3" x14ac:dyDescent="0.25">
      <c r="A34" s="19">
        <v>3</v>
      </c>
      <c r="B34" s="22" t="s">
        <v>56</v>
      </c>
      <c r="C34" s="19"/>
    </row>
    <row r="35" spans="1:3" x14ac:dyDescent="0.25">
      <c r="A35" s="20">
        <v>4</v>
      </c>
      <c r="B35" s="21" t="s">
        <v>56</v>
      </c>
      <c r="C35" s="20"/>
    </row>
    <row r="36" spans="1:3" x14ac:dyDescent="0.25">
      <c r="A36" s="23">
        <v>5</v>
      </c>
      <c r="B36" s="24" t="s">
        <v>56</v>
      </c>
      <c r="C36" s="19"/>
    </row>
    <row r="37" spans="1:3" x14ac:dyDescent="0.25">
      <c r="A37" s="25">
        <v>1</v>
      </c>
      <c r="B37" s="26" t="s">
        <v>57</v>
      </c>
      <c r="C37" s="20"/>
    </row>
    <row r="38" spans="1:3" x14ac:dyDescent="0.25">
      <c r="A38" s="19">
        <v>2</v>
      </c>
      <c r="B38" s="24" t="s">
        <v>57</v>
      </c>
      <c r="C38" s="19"/>
    </row>
    <row r="39" spans="1:3" x14ac:dyDescent="0.25">
      <c r="A39" s="20">
        <v>3</v>
      </c>
      <c r="B39" s="26" t="s">
        <v>57</v>
      </c>
      <c r="C39" s="20"/>
    </row>
    <row r="40" spans="1:3" x14ac:dyDescent="0.25">
      <c r="A40" s="19">
        <v>4</v>
      </c>
      <c r="B40" s="24" t="s">
        <v>57</v>
      </c>
      <c r="C40" s="19"/>
    </row>
    <row r="41" spans="1:3" x14ac:dyDescent="0.25">
      <c r="A41" s="20">
        <v>5</v>
      </c>
      <c r="B41" s="21" t="s">
        <v>57</v>
      </c>
      <c r="C41"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1</vt:lpstr>
      <vt:lpstr>2</vt:lpstr>
      <vt:lpstr>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Eldar</cp:lastModifiedBy>
  <dcterms:created xsi:type="dcterms:W3CDTF">2022-10-16T20:29:10Z</dcterms:created>
  <dcterms:modified xsi:type="dcterms:W3CDTF">2023-01-11T11:01:27Z</dcterms:modified>
</cp:coreProperties>
</file>